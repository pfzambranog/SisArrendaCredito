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Originacion\Version 2\Documentos\"/>
    </mc:Choice>
  </mc:AlternateContent>
  <xr:revisionPtr revIDLastSave="0" documentId="13_ncr:1_{E8E6394F-3EC2-4341-8907-152CA786B7B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RRENDAMIENTO" sheetId="3" r:id="rId1"/>
    <sheet name="SEGURO" sheetId="5" r:id="rId2"/>
    <sheet name="PLACAS" sheetId="6" r:id="rId3"/>
    <sheet name="GASTOS DE ARRENDAMIENTO" sheetId="7" r:id="rId4"/>
    <sheet name="INTEGRAL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 s="1"/>
  <c r="B3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D3" i="3" l="1"/>
  <c r="E3" i="3" s="1"/>
  <c r="B4" i="3"/>
  <c r="B2" i="8"/>
  <c r="G2" i="7"/>
  <c r="F2" i="7" s="1"/>
  <c r="B3" i="7" s="1"/>
  <c r="D2" i="7"/>
  <c r="E2" i="7" s="1"/>
  <c r="G2" i="6"/>
  <c r="G3" i="6" s="1"/>
  <c r="G4" i="6" s="1"/>
  <c r="G5" i="6" s="1"/>
  <c r="D2" i="6"/>
  <c r="E2" i="6" s="1"/>
  <c r="E2" i="5" s="1"/>
  <c r="E2" i="8" s="1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D14" i="5"/>
  <c r="E14" i="5" s="1"/>
  <c r="D2" i="5"/>
  <c r="D4" i="3" l="1"/>
  <c r="E4" i="3" s="1"/>
  <c r="B5" i="3" s="1"/>
  <c r="K2" i="8"/>
  <c r="K4" i="8"/>
  <c r="D2" i="8"/>
  <c r="K3" i="8"/>
  <c r="G3" i="7"/>
  <c r="G4" i="7" s="1"/>
  <c r="D3" i="7"/>
  <c r="G5" i="7"/>
  <c r="K5" i="8" s="1"/>
  <c r="F2" i="6"/>
  <c r="B3" i="6" s="1"/>
  <c r="G6" i="6"/>
  <c r="F14" i="5"/>
  <c r="F2" i="5"/>
  <c r="G5" i="8" l="1"/>
  <c r="L5" i="8"/>
  <c r="G3" i="8"/>
  <c r="L3" i="8"/>
  <c r="G4" i="8"/>
  <c r="L4" i="8"/>
  <c r="G2" i="8"/>
  <c r="L2" i="8"/>
  <c r="D5" i="3"/>
  <c r="E5" i="3" s="1"/>
  <c r="B6" i="3" s="1"/>
  <c r="B3" i="5"/>
  <c r="B3" i="8" s="1"/>
  <c r="F2" i="8"/>
  <c r="E3" i="7"/>
  <c r="F3" i="7" s="1"/>
  <c r="B4" i="7" s="1"/>
  <c r="G6" i="7"/>
  <c r="K6" i="8" s="1"/>
  <c r="G7" i="6"/>
  <c r="D3" i="6"/>
  <c r="D3" i="5"/>
  <c r="D3" i="8" s="1"/>
  <c r="B15" i="5"/>
  <c r="H2" i="8" l="1"/>
  <c r="J2" i="8" s="1"/>
  <c r="L6" i="8"/>
  <c r="G6" i="8"/>
  <c r="D6" i="3"/>
  <c r="E6" i="3" s="1"/>
  <c r="B7" i="3" s="1"/>
  <c r="D4" i="7"/>
  <c r="G7" i="7"/>
  <c r="K7" i="8" s="1"/>
  <c r="E3" i="6"/>
  <c r="F3" i="6" s="1"/>
  <c r="B4" i="6" s="1"/>
  <c r="G8" i="6"/>
  <c r="D15" i="5"/>
  <c r="E15" i="5" s="1"/>
  <c r="F15" i="5" s="1"/>
  <c r="B16" i="5" s="1"/>
  <c r="D16" i="5" s="1"/>
  <c r="E3" i="5"/>
  <c r="E3" i="8" s="1"/>
  <c r="L7" i="8" l="1"/>
  <c r="G7" i="8"/>
  <c r="K8" i="8"/>
  <c r="L8" i="8" s="1"/>
  <c r="D7" i="3"/>
  <c r="E7" i="3" s="1"/>
  <c r="B8" i="3"/>
  <c r="F3" i="5"/>
  <c r="E4" i="7"/>
  <c r="F4" i="7" s="1"/>
  <c r="B5" i="7" s="1"/>
  <c r="G8" i="7"/>
  <c r="D4" i="6"/>
  <c r="G9" i="6"/>
  <c r="E16" i="5"/>
  <c r="F16" i="5" s="1"/>
  <c r="B17" i="5" s="1"/>
  <c r="D17" i="5" s="1"/>
  <c r="G8" i="8" l="1"/>
  <c r="D8" i="3"/>
  <c r="E8" i="3" s="1"/>
  <c r="B9" i="3" s="1"/>
  <c r="B4" i="5"/>
  <c r="F3" i="8"/>
  <c r="D5" i="7"/>
  <c r="G9" i="7"/>
  <c r="K9" i="8" s="1"/>
  <c r="E4" i="6"/>
  <c r="F4" i="6" s="1"/>
  <c r="B5" i="6" s="1"/>
  <c r="G10" i="6"/>
  <c r="E17" i="5"/>
  <c r="F17" i="5" s="1"/>
  <c r="B18" i="5" s="1"/>
  <c r="D18" i="5" s="1"/>
  <c r="G9" i="8" l="1"/>
  <c r="L9" i="8"/>
  <c r="K10" i="8"/>
  <c r="L10" i="8" s="1"/>
  <c r="G10" i="8"/>
  <c r="D9" i="3"/>
  <c r="E9" i="3" s="1"/>
  <c r="B10" i="3" s="1"/>
  <c r="D4" i="5"/>
  <c r="B4" i="8"/>
  <c r="G10" i="7"/>
  <c r="E5" i="7"/>
  <c r="F5" i="7"/>
  <c r="B6" i="7" s="1"/>
  <c r="G11" i="6"/>
  <c r="D5" i="6"/>
  <c r="E18" i="5"/>
  <c r="F18" i="5"/>
  <c r="B19" i="5" s="1"/>
  <c r="D19" i="5" s="1"/>
  <c r="E19" i="5" s="1"/>
  <c r="F19" i="5" s="1"/>
  <c r="B20" i="5" s="1"/>
  <c r="D10" i="3" l="1"/>
  <c r="E10" i="3" s="1"/>
  <c r="B11" i="3" s="1"/>
  <c r="E4" i="5"/>
  <c r="E4" i="8" s="1"/>
  <c r="D4" i="8"/>
  <c r="D6" i="7"/>
  <c r="G11" i="7"/>
  <c r="K11" i="8" s="1"/>
  <c r="E5" i="6"/>
  <c r="F5" i="6" s="1"/>
  <c r="B6" i="6" s="1"/>
  <c r="G12" i="6"/>
  <c r="D20" i="5"/>
  <c r="E20" i="5" s="1"/>
  <c r="F20" i="5" s="1"/>
  <c r="B21" i="5" s="1"/>
  <c r="G11" i="8" l="1"/>
  <c r="L11" i="8"/>
  <c r="K12" i="8"/>
  <c r="L12" i="8" s="1"/>
  <c r="G12" i="8"/>
  <c r="D11" i="3"/>
  <c r="E11" i="3" s="1"/>
  <c r="B12" i="3" s="1"/>
  <c r="F4" i="5"/>
  <c r="G12" i="7"/>
  <c r="E6" i="7"/>
  <c r="F6" i="7"/>
  <c r="B7" i="7" s="1"/>
  <c r="G13" i="6"/>
  <c r="D6" i="6"/>
  <c r="D21" i="5"/>
  <c r="E21" i="5" s="1"/>
  <c r="F21" i="5" s="1"/>
  <c r="B22" i="5" s="1"/>
  <c r="B13" i="3" l="1"/>
  <c r="D12" i="3"/>
  <c r="E12" i="3" s="1"/>
  <c r="B5" i="5"/>
  <c r="F4" i="8"/>
  <c r="D7" i="7"/>
  <c r="G13" i="7"/>
  <c r="K13" i="8" s="1"/>
  <c r="E6" i="6"/>
  <c r="F6" i="6" s="1"/>
  <c r="B7" i="6" s="1"/>
  <c r="G14" i="6"/>
  <c r="D22" i="5"/>
  <c r="E22" i="5" s="1"/>
  <c r="F22" i="5" s="1"/>
  <c r="B23" i="5" s="1"/>
  <c r="G13" i="8" l="1"/>
  <c r="L13" i="8"/>
  <c r="K14" i="8"/>
  <c r="L14" i="8" s="1"/>
  <c r="G14" i="8"/>
  <c r="D13" i="3"/>
  <c r="E13" i="3" s="1"/>
  <c r="B14" i="3" s="1"/>
  <c r="D5" i="5"/>
  <c r="B5" i="8"/>
  <c r="G14" i="7"/>
  <c r="E7" i="7"/>
  <c r="F7" i="7"/>
  <c r="B8" i="7" s="1"/>
  <c r="G15" i="6"/>
  <c r="D7" i="6"/>
  <c r="D23" i="5"/>
  <c r="D14" i="3" l="1"/>
  <c r="E14" i="3" s="1"/>
  <c r="B15" i="3" s="1"/>
  <c r="E5" i="5"/>
  <c r="E5" i="8" s="1"/>
  <c r="D5" i="8"/>
  <c r="D8" i="7"/>
  <c r="G15" i="7"/>
  <c r="K15" i="8" s="1"/>
  <c r="E7" i="6"/>
  <c r="F7" i="6" s="1"/>
  <c r="B8" i="6" s="1"/>
  <c r="G16" i="6"/>
  <c r="E23" i="5"/>
  <c r="F23" i="5" s="1"/>
  <c r="B24" i="5" s="1"/>
  <c r="G15" i="8" l="1"/>
  <c r="L15" i="8"/>
  <c r="D15" i="3"/>
  <c r="E15" i="3" s="1"/>
  <c r="B16" i="3" s="1"/>
  <c r="F5" i="5"/>
  <c r="G16" i="7"/>
  <c r="K16" i="8" s="1"/>
  <c r="E8" i="7"/>
  <c r="F8" i="7"/>
  <c r="B9" i="7" s="1"/>
  <c r="G17" i="6"/>
  <c r="D8" i="6"/>
  <c r="D24" i="5"/>
  <c r="E24" i="5" s="1"/>
  <c r="F24" i="5" s="1"/>
  <c r="B25" i="5"/>
  <c r="D25" i="5" s="1"/>
  <c r="E25" i="5" s="1"/>
  <c r="F25" i="5" s="1"/>
  <c r="L16" i="8" l="1"/>
  <c r="G16" i="8"/>
  <c r="K17" i="8"/>
  <c r="L17" i="8" s="1"/>
  <c r="G17" i="8"/>
  <c r="D16" i="3"/>
  <c r="E16" i="3" s="1"/>
  <c r="B17" i="3" s="1"/>
  <c r="B6" i="5"/>
  <c r="F5" i="8"/>
  <c r="G17" i="7"/>
  <c r="D9" i="7"/>
  <c r="E8" i="6"/>
  <c r="F8" i="6" s="1"/>
  <c r="B9" i="6" s="1"/>
  <c r="G18" i="6"/>
  <c r="B18" i="3" l="1"/>
  <c r="D17" i="3"/>
  <c r="E17" i="3" s="1"/>
  <c r="B6" i="8"/>
  <c r="D6" i="5"/>
  <c r="E9" i="7"/>
  <c r="F9" i="7" s="1"/>
  <c r="B10" i="7" s="1"/>
  <c r="G18" i="7"/>
  <c r="K18" i="8" s="1"/>
  <c r="G19" i="6"/>
  <c r="D9" i="6"/>
  <c r="G18" i="8" l="1"/>
  <c r="L18" i="8"/>
  <c r="K19" i="8"/>
  <c r="L19" i="8" s="1"/>
  <c r="G19" i="8"/>
  <c r="D18" i="3"/>
  <c r="E18" i="3" s="1"/>
  <c r="B19" i="3"/>
  <c r="E6" i="5"/>
  <c r="E6" i="8" s="1"/>
  <c r="D6" i="8"/>
  <c r="G19" i="7"/>
  <c r="D10" i="7"/>
  <c r="E9" i="6"/>
  <c r="F9" i="6" s="1"/>
  <c r="B10" i="6" s="1"/>
  <c r="G20" i="6"/>
  <c r="D19" i="3" l="1"/>
  <c r="E19" i="3" s="1"/>
  <c r="B20" i="3" s="1"/>
  <c r="F6" i="5"/>
  <c r="E10" i="7"/>
  <c r="F10" i="7"/>
  <c r="B11" i="7" s="1"/>
  <c r="G20" i="7"/>
  <c r="K20" i="8" s="1"/>
  <c r="D10" i="6"/>
  <c r="G21" i="6"/>
  <c r="G20" i="8" l="1"/>
  <c r="L20" i="8"/>
  <c r="K21" i="8"/>
  <c r="L21" i="8" s="1"/>
  <c r="G21" i="8"/>
  <c r="D20" i="3"/>
  <c r="E20" i="3" s="1"/>
  <c r="B21" i="3" s="1"/>
  <c r="B7" i="5"/>
  <c r="F6" i="8"/>
  <c r="G21" i="7"/>
  <c r="D11" i="7"/>
  <c r="G22" i="6"/>
  <c r="E10" i="6"/>
  <c r="F10" i="6" s="1"/>
  <c r="B11" i="6" s="1"/>
  <c r="D21" i="3" l="1"/>
  <c r="E21" i="3" s="1"/>
  <c r="B22" i="3" s="1"/>
  <c r="B7" i="8"/>
  <c r="D7" i="5"/>
  <c r="E11" i="7"/>
  <c r="F11" i="7"/>
  <c r="B12" i="7" s="1"/>
  <c r="G22" i="7"/>
  <c r="K22" i="8" s="1"/>
  <c r="D11" i="6"/>
  <c r="G23" i="6"/>
  <c r="G22" i="8" l="1"/>
  <c r="L22" i="8"/>
  <c r="K23" i="8"/>
  <c r="L23" i="8" s="1"/>
  <c r="D22" i="3"/>
  <c r="E22" i="3" s="1"/>
  <c r="B23" i="3" s="1"/>
  <c r="D7" i="8"/>
  <c r="E7" i="5"/>
  <c r="E7" i="8" s="1"/>
  <c r="G23" i="7"/>
  <c r="D12" i="7"/>
  <c r="G24" i="6"/>
  <c r="E11" i="6"/>
  <c r="F11" i="6" s="1"/>
  <c r="B12" i="6" s="1"/>
  <c r="G23" i="8" l="1"/>
  <c r="K24" i="8"/>
  <c r="G24" i="8" s="1"/>
  <c r="D23" i="3"/>
  <c r="E23" i="3" s="1"/>
  <c r="B24" i="3" s="1"/>
  <c r="F7" i="5"/>
  <c r="E12" i="7"/>
  <c r="F12" i="7" s="1"/>
  <c r="B13" i="7" s="1"/>
  <c r="G24" i="7"/>
  <c r="D12" i="6"/>
  <c r="G25" i="6"/>
  <c r="L24" i="8" l="1"/>
  <c r="D24" i="3"/>
  <c r="E24" i="3" s="1"/>
  <c r="B25" i="3"/>
  <c r="D25" i="3" s="1"/>
  <c r="E25" i="3" s="1"/>
  <c r="B8" i="5"/>
  <c r="F7" i="8"/>
  <c r="D13" i="7"/>
  <c r="G25" i="7"/>
  <c r="K25" i="8" s="1"/>
  <c r="E12" i="6"/>
  <c r="F12" i="6"/>
  <c r="G25" i="8" l="1"/>
  <c r="L25" i="8"/>
  <c r="B13" i="6"/>
  <c r="D13" i="6" s="1"/>
  <c r="B8" i="8"/>
  <c r="D8" i="5"/>
  <c r="E13" i="7"/>
  <c r="F13" i="7" s="1"/>
  <c r="B14" i="7" s="1"/>
  <c r="E13" i="6" l="1"/>
  <c r="F13" i="6" s="1"/>
  <c r="B14" i="6" s="1"/>
  <c r="E8" i="5"/>
  <c r="E8" i="8" s="1"/>
  <c r="D8" i="8"/>
  <c r="D14" i="7"/>
  <c r="B14" i="8" l="1"/>
  <c r="D14" i="6"/>
  <c r="D14" i="8" s="1"/>
  <c r="F8" i="5"/>
  <c r="E14" i="7"/>
  <c r="F14" i="7" s="1"/>
  <c r="B15" i="7" s="1"/>
  <c r="E14" i="6"/>
  <c r="E14" i="8" l="1"/>
  <c r="F14" i="6"/>
  <c r="B9" i="5"/>
  <c r="F8" i="8"/>
  <c r="D15" i="7"/>
  <c r="B15" i="6" l="1"/>
  <c r="F14" i="8"/>
  <c r="B9" i="8"/>
  <c r="D9" i="5"/>
  <c r="E15" i="7"/>
  <c r="F15" i="7"/>
  <c r="B16" i="7" s="1"/>
  <c r="B15" i="8" l="1"/>
  <c r="D15" i="6"/>
  <c r="E9" i="5"/>
  <c r="E9" i="8" s="1"/>
  <c r="D9" i="8"/>
  <c r="D16" i="7"/>
  <c r="D15" i="8" l="1"/>
  <c r="E15" i="6"/>
  <c r="E15" i="8" s="1"/>
  <c r="F15" i="6"/>
  <c r="F9" i="5"/>
  <c r="E16" i="7"/>
  <c r="F16" i="7" s="1"/>
  <c r="B17" i="7" s="1"/>
  <c r="B16" i="6" l="1"/>
  <c r="F15" i="8"/>
  <c r="B10" i="5"/>
  <c r="F9" i="8"/>
  <c r="D17" i="7"/>
  <c r="B16" i="8" l="1"/>
  <c r="D16" i="6"/>
  <c r="B10" i="8"/>
  <c r="D10" i="5"/>
  <c r="E17" i="7"/>
  <c r="F17" i="7" s="1"/>
  <c r="B18" i="7" s="1"/>
  <c r="D16" i="8" l="1"/>
  <c r="E16" i="6"/>
  <c r="E16" i="8" s="1"/>
  <c r="F16" i="6"/>
  <c r="D10" i="8"/>
  <c r="E10" i="5"/>
  <c r="E10" i="8" s="1"/>
  <c r="D18" i="7"/>
  <c r="F16" i="8" l="1"/>
  <c r="B17" i="6"/>
  <c r="F10" i="5"/>
  <c r="E18" i="7"/>
  <c r="F18" i="7" s="1"/>
  <c r="B19" i="7" s="1"/>
  <c r="B17" i="8" l="1"/>
  <c r="D17" i="6"/>
  <c r="B11" i="5"/>
  <c r="F10" i="8"/>
  <c r="D19" i="7"/>
  <c r="E17" i="6" l="1"/>
  <c r="D17" i="8"/>
  <c r="B11" i="8"/>
  <c r="D11" i="5"/>
  <c r="E19" i="7"/>
  <c r="F19" i="7"/>
  <c r="B20" i="7" s="1"/>
  <c r="F17" i="6" l="1"/>
  <c r="E17" i="8"/>
  <c r="D11" i="8"/>
  <c r="E11" i="5"/>
  <c r="E11" i="8" s="1"/>
  <c r="D20" i="7"/>
  <c r="F17" i="8" l="1"/>
  <c r="B18" i="6"/>
  <c r="F11" i="5"/>
  <c r="E20" i="7"/>
  <c r="F20" i="7" s="1"/>
  <c r="B21" i="7" s="1"/>
  <c r="B18" i="8" l="1"/>
  <c r="D18" i="6"/>
  <c r="B12" i="5"/>
  <c r="F11" i="8"/>
  <c r="D21" i="7"/>
  <c r="D18" i="8" l="1"/>
  <c r="E18" i="6"/>
  <c r="B12" i="8"/>
  <c r="D12" i="5"/>
  <c r="E21" i="7"/>
  <c r="F21" i="7"/>
  <c r="B22" i="7" s="1"/>
  <c r="F18" i="6" l="1"/>
  <c r="E18" i="8"/>
  <c r="D12" i="8"/>
  <c r="E12" i="5"/>
  <c r="E12" i="8" s="1"/>
  <c r="D22" i="7"/>
  <c r="B19" i="6" l="1"/>
  <c r="F18" i="8"/>
  <c r="F12" i="5"/>
  <c r="E22" i="7"/>
  <c r="F22" i="7" s="1"/>
  <c r="B23" i="7" s="1"/>
  <c r="B19" i="8" l="1"/>
  <c r="D19" i="6"/>
  <c r="B13" i="5"/>
  <c r="F12" i="8"/>
  <c r="D23" i="7"/>
  <c r="D19" i="8" l="1"/>
  <c r="E19" i="6"/>
  <c r="E19" i="8" s="1"/>
  <c r="F19" i="6"/>
  <c r="D13" i="5"/>
  <c r="B13" i="8"/>
  <c r="E23" i="7"/>
  <c r="F23" i="7"/>
  <c r="B24" i="7" s="1"/>
  <c r="B20" i="6" l="1"/>
  <c r="F19" i="8"/>
  <c r="D13" i="8"/>
  <c r="E13" i="5"/>
  <c r="E13" i="8" s="1"/>
  <c r="D24" i="7"/>
  <c r="B20" i="8" l="1"/>
  <c r="D20" i="6"/>
  <c r="F13" i="5"/>
  <c r="F13" i="8" s="1"/>
  <c r="E24" i="7"/>
  <c r="F24" i="7" s="1"/>
  <c r="B25" i="7" s="1"/>
  <c r="D25" i="7" s="1"/>
  <c r="D20" i="8" l="1"/>
  <c r="E20" i="6"/>
  <c r="E20" i="8" s="1"/>
  <c r="F20" i="6"/>
  <c r="E25" i="7"/>
  <c r="F25" i="7" s="1"/>
  <c r="B21" i="6" l="1"/>
  <c r="F20" i="8"/>
  <c r="B21" i="8" l="1"/>
  <c r="D21" i="6"/>
  <c r="E21" i="6" l="1"/>
  <c r="D21" i="8"/>
  <c r="F21" i="6" l="1"/>
  <c r="E21" i="8"/>
  <c r="B22" i="6" l="1"/>
  <c r="F21" i="8"/>
  <c r="B22" i="8" l="1"/>
  <c r="D22" i="6"/>
  <c r="D22" i="8" l="1"/>
  <c r="E22" i="6"/>
  <c r="E22" i="8" s="1"/>
  <c r="F22" i="6" l="1"/>
  <c r="B23" i="6" l="1"/>
  <c r="F22" i="8"/>
  <c r="B23" i="8" l="1"/>
  <c r="D23" i="6"/>
  <c r="D23" i="8" l="1"/>
  <c r="E23" i="6"/>
  <c r="E23" i="8" s="1"/>
  <c r="F23" i="6" l="1"/>
  <c r="B24" i="6"/>
  <c r="F23" i="8"/>
  <c r="B24" i="8" l="1"/>
  <c r="D24" i="6"/>
  <c r="D24" i="8" l="1"/>
  <c r="E24" i="6"/>
  <c r="E24" i="8" s="1"/>
  <c r="F24" i="6" l="1"/>
  <c r="F24" i="8" l="1"/>
  <c r="B25" i="6"/>
  <c r="D25" i="6" l="1"/>
  <c r="B25" i="8"/>
  <c r="D25" i="8" l="1"/>
  <c r="E25" i="6"/>
  <c r="E25" i="8" s="1"/>
  <c r="F25" i="6"/>
  <c r="F25" i="8" s="1"/>
</calcChain>
</file>

<file path=xl/sharedStrings.xml><?xml version="1.0" encoding="utf-8"?>
<sst xmlns="http://schemas.openxmlformats.org/spreadsheetml/2006/main" count="66" uniqueCount="18">
  <si>
    <r>
      <rPr>
        <b/>
        <sz val="8"/>
        <rFont val="Arial"/>
        <family val="2"/>
      </rPr>
      <t>No. de Pago</t>
    </r>
  </si>
  <si>
    <r>
      <rPr>
        <b/>
        <sz val="8"/>
        <rFont val="Arial"/>
        <family val="2"/>
      </rPr>
      <t>Saldo Capital</t>
    </r>
  </si>
  <si>
    <r>
      <rPr>
        <b/>
        <sz val="8"/>
        <rFont val="Arial"/>
        <family val="2"/>
      </rPr>
      <t xml:space="preserve">Tasa
</t>
    </r>
    <r>
      <rPr>
        <b/>
        <sz val="8"/>
        <rFont val="Arial"/>
        <family val="2"/>
      </rPr>
      <t>Interés</t>
    </r>
  </si>
  <si>
    <r>
      <rPr>
        <b/>
        <sz val="8"/>
        <rFont val="Arial"/>
        <family val="2"/>
      </rPr>
      <t>Pago Intereses</t>
    </r>
  </si>
  <si>
    <r>
      <rPr>
        <b/>
        <sz val="8"/>
        <rFont val="Arial"/>
        <family val="2"/>
      </rPr>
      <t>Pago Capital</t>
    </r>
  </si>
  <si>
    <r>
      <rPr>
        <b/>
        <sz val="8"/>
        <rFont val="Arial"/>
        <family val="2"/>
      </rPr>
      <t>Subtotal</t>
    </r>
  </si>
  <si>
    <r>
      <rPr>
        <b/>
        <sz val="8"/>
        <rFont val="Arial"/>
        <family val="2"/>
      </rPr>
      <t>I.V.A.</t>
    </r>
  </si>
  <si>
    <r>
      <rPr>
        <b/>
        <sz val="8"/>
        <rFont val="Arial"/>
        <family val="2"/>
      </rPr>
      <t>Pago Total</t>
    </r>
  </si>
  <si>
    <r>
      <rPr>
        <sz val="8"/>
        <rFont val="Arial MT"/>
        <family val="2"/>
      </rPr>
      <t>24,00%</t>
    </r>
  </si>
  <si>
    <t xml:space="preserve"> </t>
  </si>
  <si>
    <t>IVA</t>
  </si>
  <si>
    <t>PAGO MENSUAL</t>
  </si>
  <si>
    <t>IVA FINANCIAMIENTOS</t>
  </si>
  <si>
    <t>IVA ARRENDAMIENTO</t>
  </si>
  <si>
    <t>RENTA CON IVA</t>
  </si>
  <si>
    <t>KILOMETRAJE CON IVA</t>
  </si>
  <si>
    <t>Pago Capital</t>
  </si>
  <si>
    <t>sol_condiciones_art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</si>
</sst>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#,##0.00"/>
    <numFmt numFmtId="166" formatCode="#,##0.0000"/>
  </numFmts>
  <fonts count="7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sz val="10"/>
      <color rgb="FF000000"/>
      <name val="Times New Roman"/>
      <family val="1"/>
    </font>
    <font>
      <sz val="8"/>
      <color theme="2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9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164" fontId="2" fillId="2" borderId="1" xfId="0" applyNumberFormat="1" applyFont="1" applyFill="1" applyBorder="1" applyAlignment="1">
      <alignment horizontal="center" vertical="top" shrinkToFit="1"/>
    </xf>
    <xf numFmtId="9" fontId="3" fillId="0" borderId="1" xfId="0" applyNumberFormat="1" applyFon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166" fontId="0" fillId="0" borderId="0" xfId="0" applyNumberFormat="1" applyAlignment="1">
      <alignment horizontal="left" vertical="top"/>
    </xf>
    <xf numFmtId="0" fontId="0" fillId="3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164" fontId="6" fillId="4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zoomScale="145" zoomScaleNormal="145" workbookViewId="0">
      <selection activeCell="E25" sqref="E25"/>
    </sheetView>
  </sheetViews>
  <sheetFormatPr baseColWidth="10" defaultColWidth="9.33203125" defaultRowHeight="12.75"/>
  <cols>
    <col min="1" max="1" width="10.1640625" customWidth="1"/>
    <col min="2" max="2" width="20.83203125" customWidth="1"/>
    <col min="3" max="3" width="15" customWidth="1"/>
    <col min="4" max="4" width="19.6640625" customWidth="1"/>
    <col min="5" max="5" width="14.83203125" customWidth="1"/>
    <col min="6" max="6" width="17.1640625" customWidth="1"/>
    <col min="7" max="7" width="15.33203125" customWidth="1"/>
    <col min="8" max="8" width="19.83203125" customWidth="1"/>
    <col min="10" max="11" width="13.6640625" bestFit="1" customWidth="1"/>
  </cols>
  <sheetData>
    <row r="1" spans="1:1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16</v>
      </c>
      <c r="F1" s="1" t="s">
        <v>5</v>
      </c>
      <c r="G1" s="1" t="s">
        <v>6</v>
      </c>
      <c r="H1" s="1" t="s">
        <v>7</v>
      </c>
    </row>
    <row r="2" spans="1:11" ht="17.100000000000001" customHeight="1">
      <c r="A2" s="3">
        <v>1</v>
      </c>
      <c r="B2" s="4">
        <v>1139809.93</v>
      </c>
      <c r="C2" s="9">
        <v>0.24</v>
      </c>
      <c r="D2" s="4">
        <f>(B2*C2)/12</f>
        <v>22796.1986</v>
      </c>
      <c r="E2" s="4">
        <f>F2-D2</f>
        <v>18256.181399999998</v>
      </c>
      <c r="F2" s="4">
        <v>41052.379999999997</v>
      </c>
      <c r="G2" s="4">
        <f>F2*0.16</f>
        <v>6568.3807999999999</v>
      </c>
      <c r="H2" s="4">
        <v>47620.77</v>
      </c>
      <c r="J2" s="12"/>
      <c r="K2" s="12"/>
    </row>
    <row r="3" spans="1:11" ht="17.100000000000001" customHeight="1">
      <c r="A3" s="3">
        <v>2</v>
      </c>
      <c r="B3" s="4">
        <f>B2-E2</f>
        <v>1121553.7486</v>
      </c>
      <c r="C3" s="9">
        <v>0.24</v>
      </c>
      <c r="D3" s="4">
        <f>(B3*C3)/12</f>
        <v>22431.074972000002</v>
      </c>
      <c r="E3" s="4">
        <f t="shared" ref="E3:E25" si="0">F3-D3</f>
        <v>18621.305027999995</v>
      </c>
      <c r="F3" s="4">
        <v>41052.379999999997</v>
      </c>
      <c r="G3" s="4">
        <f t="shared" ref="G3:G25" si="1">F3*0.16</f>
        <v>6568.3807999999999</v>
      </c>
      <c r="H3" s="4">
        <v>47620.77</v>
      </c>
    </row>
    <row r="4" spans="1:11" ht="17.100000000000001" customHeight="1">
      <c r="A4" s="3">
        <v>3</v>
      </c>
      <c r="B4" s="4">
        <f t="shared" ref="B4:B25" si="2">B3-E3</f>
        <v>1102932.4435720001</v>
      </c>
      <c r="C4" s="9">
        <v>0.24</v>
      </c>
      <c r="D4" s="4">
        <f t="shared" ref="D4:D25" si="3">(B4*C4)/12</f>
        <v>22058.648871440004</v>
      </c>
      <c r="E4" s="4">
        <f t="shared" si="0"/>
        <v>18993.731128559994</v>
      </c>
      <c r="F4" s="4">
        <v>41052.379999999997</v>
      </c>
      <c r="G4" s="4">
        <f t="shared" si="1"/>
        <v>6568.3807999999999</v>
      </c>
      <c r="H4" s="4">
        <v>47620.77</v>
      </c>
    </row>
    <row r="5" spans="1:11" ht="17.100000000000001" customHeight="1">
      <c r="A5" s="3">
        <v>4</v>
      </c>
      <c r="B5" s="4">
        <f t="shared" si="2"/>
        <v>1083938.7124434402</v>
      </c>
      <c r="C5" s="9">
        <v>0.24</v>
      </c>
      <c r="D5" s="4">
        <f t="shared" si="3"/>
        <v>21678.774248868805</v>
      </c>
      <c r="E5" s="4">
        <f t="shared" si="0"/>
        <v>19373.605751131192</v>
      </c>
      <c r="F5" s="4">
        <v>41052.379999999997</v>
      </c>
      <c r="G5" s="4">
        <f t="shared" si="1"/>
        <v>6568.3807999999999</v>
      </c>
      <c r="H5" s="4">
        <v>47620.77</v>
      </c>
    </row>
    <row r="6" spans="1:11" ht="17.100000000000001" customHeight="1">
      <c r="A6" s="3">
        <v>5</v>
      </c>
      <c r="B6" s="4">
        <f t="shared" si="2"/>
        <v>1064565.106692309</v>
      </c>
      <c r="C6" s="9">
        <v>0.24</v>
      </c>
      <c r="D6" s="4">
        <f t="shared" si="3"/>
        <v>21291.30213384618</v>
      </c>
      <c r="E6" s="4">
        <f t="shared" si="0"/>
        <v>19761.077866153817</v>
      </c>
      <c r="F6" s="4">
        <v>41052.379999999997</v>
      </c>
      <c r="G6" s="4">
        <f t="shared" si="1"/>
        <v>6568.3807999999999</v>
      </c>
      <c r="H6" s="4">
        <v>47620.77</v>
      </c>
    </row>
    <row r="7" spans="1:11" ht="17.100000000000001" customHeight="1">
      <c r="A7" s="3">
        <v>6</v>
      </c>
      <c r="B7" s="4">
        <f t="shared" si="2"/>
        <v>1044804.0288261552</v>
      </c>
      <c r="C7" s="9">
        <v>0.24</v>
      </c>
      <c r="D7" s="4">
        <f t="shared" si="3"/>
        <v>20896.080576523102</v>
      </c>
      <c r="E7" s="4">
        <f t="shared" si="0"/>
        <v>20156.299423476896</v>
      </c>
      <c r="F7" s="4">
        <v>41052.379999999997</v>
      </c>
      <c r="G7" s="4">
        <f t="shared" si="1"/>
        <v>6568.3807999999999</v>
      </c>
      <c r="H7" s="4">
        <v>47620.77</v>
      </c>
    </row>
    <row r="8" spans="1:11" ht="17.100000000000001" customHeight="1">
      <c r="A8" s="3">
        <v>7</v>
      </c>
      <c r="B8" s="4">
        <f t="shared" si="2"/>
        <v>1024647.7294026783</v>
      </c>
      <c r="C8" s="9">
        <v>0.24</v>
      </c>
      <c r="D8" s="4">
        <f t="shared" si="3"/>
        <v>20492.954588053566</v>
      </c>
      <c r="E8" s="4">
        <f t="shared" si="0"/>
        <v>20559.425411946431</v>
      </c>
      <c r="F8" s="4">
        <v>41052.379999999997</v>
      </c>
      <c r="G8" s="4">
        <f t="shared" si="1"/>
        <v>6568.3807999999999</v>
      </c>
      <c r="H8" s="4">
        <v>47620.77</v>
      </c>
    </row>
    <row r="9" spans="1:11" ht="17.100000000000001" customHeight="1">
      <c r="A9" s="3">
        <v>8</v>
      </c>
      <c r="B9" s="4">
        <f t="shared" si="2"/>
        <v>1004088.3039907319</v>
      </c>
      <c r="C9" s="9">
        <v>0.24</v>
      </c>
      <c r="D9" s="4">
        <f t="shared" si="3"/>
        <v>20081.766079814639</v>
      </c>
      <c r="E9" s="4">
        <f t="shared" si="0"/>
        <v>20970.613920185358</v>
      </c>
      <c r="F9" s="4">
        <v>41052.379999999997</v>
      </c>
      <c r="G9" s="4">
        <f t="shared" si="1"/>
        <v>6568.3807999999999</v>
      </c>
      <c r="H9" s="4">
        <v>47620.77</v>
      </c>
    </row>
    <row r="10" spans="1:11" ht="17.100000000000001" customHeight="1">
      <c r="A10" s="3">
        <v>9</v>
      </c>
      <c r="B10" s="4">
        <f t="shared" si="2"/>
        <v>983117.69007054658</v>
      </c>
      <c r="C10" s="9">
        <v>0.24</v>
      </c>
      <c r="D10" s="4">
        <f t="shared" si="3"/>
        <v>19662.353801410933</v>
      </c>
      <c r="E10" s="4">
        <f t="shared" si="0"/>
        <v>21390.026198589065</v>
      </c>
      <c r="F10" s="4">
        <v>41052.379999999997</v>
      </c>
      <c r="G10" s="4">
        <f t="shared" si="1"/>
        <v>6568.3807999999999</v>
      </c>
      <c r="H10" s="4">
        <v>47620.77</v>
      </c>
    </row>
    <row r="11" spans="1:11" ht="17.100000000000001" customHeight="1">
      <c r="A11" s="3">
        <v>10</v>
      </c>
      <c r="B11" s="4">
        <f t="shared" si="2"/>
        <v>961727.66387195757</v>
      </c>
      <c r="C11" s="9">
        <v>0.24</v>
      </c>
      <c r="D11" s="4">
        <f t="shared" si="3"/>
        <v>19234.55327743915</v>
      </c>
      <c r="E11" s="4">
        <f t="shared" si="0"/>
        <v>21817.826722560847</v>
      </c>
      <c r="F11" s="4">
        <v>41052.379999999997</v>
      </c>
      <c r="G11" s="4">
        <f t="shared" si="1"/>
        <v>6568.3807999999999</v>
      </c>
      <c r="H11" s="4">
        <v>47620.77</v>
      </c>
    </row>
    <row r="12" spans="1:11" ht="17.100000000000001" customHeight="1">
      <c r="A12" s="3">
        <v>11</v>
      </c>
      <c r="B12" s="4">
        <f t="shared" si="2"/>
        <v>939909.83714939677</v>
      </c>
      <c r="C12" s="9">
        <v>0.24</v>
      </c>
      <c r="D12" s="4">
        <f t="shared" si="3"/>
        <v>18798.196742987933</v>
      </c>
      <c r="E12" s="4">
        <f t="shared" si="0"/>
        <v>22254.183257012064</v>
      </c>
      <c r="F12" s="4">
        <v>41052.379999999997</v>
      </c>
      <c r="G12" s="4">
        <f t="shared" si="1"/>
        <v>6568.3807999999999</v>
      </c>
      <c r="H12" s="4">
        <v>47620.77</v>
      </c>
    </row>
    <row r="13" spans="1:11" ht="17.100000000000001" customHeight="1">
      <c r="A13" s="3">
        <v>12</v>
      </c>
      <c r="B13" s="4">
        <f t="shared" si="2"/>
        <v>917655.65389238473</v>
      </c>
      <c r="C13" s="9">
        <v>0.24</v>
      </c>
      <c r="D13" s="4">
        <f t="shared" si="3"/>
        <v>18353.113077847695</v>
      </c>
      <c r="E13" s="4">
        <f t="shared" si="0"/>
        <v>22699.266922152303</v>
      </c>
      <c r="F13" s="4">
        <v>41052.379999999997</v>
      </c>
      <c r="G13" s="4">
        <f t="shared" si="1"/>
        <v>6568.3807999999999</v>
      </c>
      <c r="H13" s="4">
        <v>47620.77</v>
      </c>
    </row>
    <row r="14" spans="1:11" ht="17.100000000000001" customHeight="1">
      <c r="A14" s="3">
        <v>13</v>
      </c>
      <c r="B14" s="4">
        <f t="shared" si="2"/>
        <v>894956.38697023247</v>
      </c>
      <c r="C14" s="9">
        <v>0.24</v>
      </c>
      <c r="D14" s="4">
        <f t="shared" si="3"/>
        <v>17899.127739404648</v>
      </c>
      <c r="E14" s="4">
        <f t="shared" si="0"/>
        <v>23153.252260595349</v>
      </c>
      <c r="F14" s="4">
        <v>41052.379999999997</v>
      </c>
      <c r="G14" s="4">
        <f t="shared" si="1"/>
        <v>6568.3807999999999</v>
      </c>
      <c r="H14" s="4">
        <v>47620.77</v>
      </c>
    </row>
    <row r="15" spans="1:11" ht="17.100000000000001" customHeight="1">
      <c r="A15" s="3">
        <v>14</v>
      </c>
      <c r="B15" s="4">
        <f t="shared" si="2"/>
        <v>871803.13470963715</v>
      </c>
      <c r="C15" s="9">
        <v>0.24</v>
      </c>
      <c r="D15" s="4">
        <f t="shared" si="3"/>
        <v>17436.062694192744</v>
      </c>
      <c r="E15" s="4">
        <f t="shared" si="0"/>
        <v>23616.317305807253</v>
      </c>
      <c r="F15" s="4">
        <v>41052.379999999997</v>
      </c>
      <c r="G15" s="4">
        <f t="shared" si="1"/>
        <v>6568.3807999999999</v>
      </c>
      <c r="H15" s="4">
        <v>47620.77</v>
      </c>
    </row>
    <row r="16" spans="1:11" ht="17.100000000000001" customHeight="1">
      <c r="A16" s="3">
        <v>15</v>
      </c>
      <c r="B16" s="4">
        <f t="shared" si="2"/>
        <v>848186.81740382989</v>
      </c>
      <c r="C16" s="9">
        <v>0.24</v>
      </c>
      <c r="D16" s="4">
        <f t="shared" si="3"/>
        <v>16963.736348076596</v>
      </c>
      <c r="E16" s="4">
        <f t="shared" si="0"/>
        <v>24088.643651923401</v>
      </c>
      <c r="F16" s="4">
        <v>41052.379999999997</v>
      </c>
      <c r="G16" s="4">
        <f t="shared" si="1"/>
        <v>6568.3807999999999</v>
      </c>
      <c r="H16" s="4">
        <v>47620.77</v>
      </c>
    </row>
    <row r="17" spans="1:8" ht="17.100000000000001" customHeight="1">
      <c r="A17" s="3">
        <v>16</v>
      </c>
      <c r="B17" s="4">
        <f t="shared" si="2"/>
        <v>824098.17375190649</v>
      </c>
      <c r="C17" s="9">
        <v>0.24</v>
      </c>
      <c r="D17" s="4">
        <f t="shared" si="3"/>
        <v>16481.96347503813</v>
      </c>
      <c r="E17" s="4">
        <f t="shared" si="0"/>
        <v>24570.416524961867</v>
      </c>
      <c r="F17" s="4">
        <v>41052.379999999997</v>
      </c>
      <c r="G17" s="4">
        <f t="shared" si="1"/>
        <v>6568.3807999999999</v>
      </c>
      <c r="H17" s="4">
        <v>47620.77</v>
      </c>
    </row>
    <row r="18" spans="1:8" ht="17.100000000000001" customHeight="1">
      <c r="A18" s="3">
        <v>17</v>
      </c>
      <c r="B18" s="4">
        <f t="shared" si="2"/>
        <v>799527.75722694467</v>
      </c>
      <c r="C18" s="9">
        <v>0.24</v>
      </c>
      <c r="D18" s="4">
        <f t="shared" si="3"/>
        <v>15990.555144538892</v>
      </c>
      <c r="E18" s="4">
        <f t="shared" si="0"/>
        <v>25061.824855461105</v>
      </c>
      <c r="F18" s="4">
        <v>41052.379999999997</v>
      </c>
      <c r="G18" s="4">
        <f t="shared" si="1"/>
        <v>6568.3807999999999</v>
      </c>
      <c r="H18" s="4">
        <v>47620.77</v>
      </c>
    </row>
    <row r="19" spans="1:8" ht="17.100000000000001" customHeight="1">
      <c r="A19" s="3">
        <v>18</v>
      </c>
      <c r="B19" s="4">
        <f t="shared" si="2"/>
        <v>774465.93237148353</v>
      </c>
      <c r="C19" s="9">
        <v>0.24</v>
      </c>
      <c r="D19" s="4">
        <f t="shared" si="3"/>
        <v>15489.318647429669</v>
      </c>
      <c r="E19" s="4">
        <f t="shared" si="0"/>
        <v>25563.06135257033</v>
      </c>
      <c r="F19" s="4">
        <v>41052.379999999997</v>
      </c>
      <c r="G19" s="4">
        <f t="shared" si="1"/>
        <v>6568.3807999999999</v>
      </c>
      <c r="H19" s="4">
        <v>47620.77</v>
      </c>
    </row>
    <row r="20" spans="1:8" ht="17.100000000000001" customHeight="1">
      <c r="A20" s="3">
        <v>19</v>
      </c>
      <c r="B20" s="4">
        <f t="shared" si="2"/>
        <v>748902.87101891323</v>
      </c>
      <c r="C20" s="9">
        <v>0.24</v>
      </c>
      <c r="D20" s="4">
        <f t="shared" si="3"/>
        <v>14978.057420378265</v>
      </c>
      <c r="E20" s="4">
        <f t="shared" si="0"/>
        <v>26074.32257962173</v>
      </c>
      <c r="F20" s="4">
        <v>41052.379999999997</v>
      </c>
      <c r="G20" s="4">
        <f t="shared" si="1"/>
        <v>6568.3807999999999</v>
      </c>
      <c r="H20" s="4">
        <v>47620.77</v>
      </c>
    </row>
    <row r="21" spans="1:8" ht="17.100000000000001" customHeight="1">
      <c r="A21" s="3">
        <v>20</v>
      </c>
      <c r="B21" s="4">
        <f t="shared" si="2"/>
        <v>722828.54843929154</v>
      </c>
      <c r="C21" s="9">
        <v>0.24</v>
      </c>
      <c r="D21" s="4">
        <f t="shared" si="3"/>
        <v>14456.570968785831</v>
      </c>
      <c r="E21" s="4">
        <f t="shared" si="0"/>
        <v>26595.809031214165</v>
      </c>
      <c r="F21" s="4">
        <v>41052.379999999997</v>
      </c>
      <c r="G21" s="4">
        <f t="shared" si="1"/>
        <v>6568.3807999999999</v>
      </c>
      <c r="H21" s="4">
        <v>47620.77</v>
      </c>
    </row>
    <row r="22" spans="1:8" ht="17.100000000000001" customHeight="1">
      <c r="A22" s="3">
        <v>21</v>
      </c>
      <c r="B22" s="4">
        <f t="shared" si="2"/>
        <v>696232.73940807732</v>
      </c>
      <c r="C22" s="9">
        <v>0.24</v>
      </c>
      <c r="D22" s="4">
        <f t="shared" si="3"/>
        <v>13924.654788161546</v>
      </c>
      <c r="E22" s="4">
        <f t="shared" si="0"/>
        <v>27127.725211838449</v>
      </c>
      <c r="F22" s="4">
        <v>41052.379999999997</v>
      </c>
      <c r="G22" s="4">
        <f t="shared" si="1"/>
        <v>6568.3807999999999</v>
      </c>
      <c r="H22" s="4">
        <v>47620.77</v>
      </c>
    </row>
    <row r="23" spans="1:8" ht="17.100000000000001" customHeight="1">
      <c r="A23" s="3">
        <v>22</v>
      </c>
      <c r="B23" s="4">
        <f t="shared" si="2"/>
        <v>669105.01419623883</v>
      </c>
      <c r="C23" s="9">
        <v>0.24</v>
      </c>
      <c r="D23" s="4">
        <f t="shared" si="3"/>
        <v>13382.100283924776</v>
      </c>
      <c r="E23" s="4">
        <f t="shared" si="0"/>
        <v>27670.279716075223</v>
      </c>
      <c r="F23" s="4">
        <v>41052.379999999997</v>
      </c>
      <c r="G23" s="4">
        <f t="shared" si="1"/>
        <v>6568.3807999999999</v>
      </c>
      <c r="H23" s="4">
        <v>47620.77</v>
      </c>
    </row>
    <row r="24" spans="1:8" ht="17.100000000000001" customHeight="1">
      <c r="A24" s="3">
        <v>23</v>
      </c>
      <c r="B24" s="4">
        <f t="shared" si="2"/>
        <v>641434.73448016355</v>
      </c>
      <c r="C24" s="9">
        <v>0.24</v>
      </c>
      <c r="D24" s="4">
        <f t="shared" si="3"/>
        <v>12828.69468960327</v>
      </c>
      <c r="E24" s="4">
        <f t="shared" si="0"/>
        <v>28223.68531039673</v>
      </c>
      <c r="F24" s="4">
        <v>41052.379999999997</v>
      </c>
      <c r="G24" s="4">
        <f t="shared" si="1"/>
        <v>6568.3807999999999</v>
      </c>
      <c r="H24" s="4">
        <v>47620.77</v>
      </c>
    </row>
    <row r="25" spans="1:8" ht="16.7" customHeight="1">
      <c r="A25" s="3">
        <v>24</v>
      </c>
      <c r="B25" s="4">
        <f t="shared" si="2"/>
        <v>613211.04916976683</v>
      </c>
      <c r="C25" s="9">
        <v>0.24</v>
      </c>
      <c r="D25" s="4">
        <f t="shared" si="3"/>
        <v>12264.220983395337</v>
      </c>
      <c r="E25" s="4">
        <f t="shared" si="0"/>
        <v>28788.159016604659</v>
      </c>
      <c r="F25" s="4">
        <v>41052.379999999997</v>
      </c>
      <c r="G25" s="4">
        <f t="shared" si="1"/>
        <v>6568.3807999999999</v>
      </c>
      <c r="H25" s="4">
        <v>47620.77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zoomScale="145" zoomScaleNormal="145" workbookViewId="0">
      <selection activeCell="F25" sqref="F25"/>
    </sheetView>
  </sheetViews>
  <sheetFormatPr baseColWidth="10" defaultRowHeight="12.75"/>
  <cols>
    <col min="1" max="1" width="16.83203125" customWidth="1"/>
    <col min="2" max="2" width="16.1640625" customWidth="1"/>
    <col min="3" max="3" width="15.33203125" customWidth="1"/>
    <col min="4" max="5" width="14.6640625" customWidth="1"/>
    <col min="6" max="6" width="15.6640625" customWidth="1"/>
    <col min="7" max="7" width="18.5" customWidth="1"/>
  </cols>
  <sheetData>
    <row r="1" spans="1:10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4</v>
      </c>
      <c r="G1" s="1" t="s">
        <v>11</v>
      </c>
    </row>
    <row r="2" spans="1:10">
      <c r="A2" s="3">
        <v>1</v>
      </c>
      <c r="B2" s="4">
        <v>20000</v>
      </c>
      <c r="C2" s="5">
        <v>0.24</v>
      </c>
      <c r="D2" s="4">
        <f>(B2*C2)/12</f>
        <v>400</v>
      </c>
      <c r="E2" s="4">
        <f>+PLACAS!E2+'GASTOS DE ARRENDAMIENTO'!E2</f>
        <v>45.92</v>
      </c>
      <c r="F2" s="6">
        <f>G2-D2-E2</f>
        <v>1482.6345153602526</v>
      </c>
      <c r="G2" s="4">
        <f>PMT((C2*1.16/12),12,-B2,0,0)</f>
        <v>1928.5545153602527</v>
      </c>
      <c r="J2" s="7" t="s">
        <v>9</v>
      </c>
    </row>
    <row r="3" spans="1:10">
      <c r="A3" s="3">
        <v>2</v>
      </c>
      <c r="B3" s="4">
        <f>B2-F2</f>
        <v>18517.365484639748</v>
      </c>
      <c r="C3" s="5">
        <v>0.24</v>
      </c>
      <c r="D3" s="4">
        <f t="shared" ref="D3:D25" si="0">(B3*C3)/12</f>
        <v>370.34730969279491</v>
      </c>
      <c r="E3" s="4">
        <f t="shared" ref="E3:E25" si="1">D3*0.16</f>
        <v>59.255569550847184</v>
      </c>
      <c r="F3" s="6">
        <f t="shared" ref="F3:F25" si="2">G3-D3-E3</f>
        <v>1498.9516361166106</v>
      </c>
      <c r="G3" s="4">
        <f t="shared" ref="G3:G14" si="3">G2</f>
        <v>1928.5545153602527</v>
      </c>
    </row>
    <row r="4" spans="1:10">
      <c r="A4" s="3">
        <v>3</v>
      </c>
      <c r="B4" s="4">
        <f t="shared" ref="B4:B13" si="4">B3-F3</f>
        <v>17018.413848523138</v>
      </c>
      <c r="C4" s="5">
        <v>0.24</v>
      </c>
      <c r="D4" s="4">
        <f t="shared" si="0"/>
        <v>340.36827697046277</v>
      </c>
      <c r="E4" s="4">
        <f t="shared" si="1"/>
        <v>54.458924315274047</v>
      </c>
      <c r="F4" s="6">
        <f t="shared" si="2"/>
        <v>1533.7273140745158</v>
      </c>
      <c r="G4" s="4">
        <f t="shared" si="3"/>
        <v>1928.5545153602527</v>
      </c>
    </row>
    <row r="5" spans="1:10">
      <c r="A5" s="3">
        <v>4</v>
      </c>
      <c r="B5" s="4">
        <f t="shared" si="4"/>
        <v>15484.686534448621</v>
      </c>
      <c r="C5" s="5">
        <v>0.24</v>
      </c>
      <c r="D5" s="4">
        <f t="shared" si="0"/>
        <v>309.69373068897238</v>
      </c>
      <c r="E5" s="4">
        <f t="shared" si="1"/>
        <v>49.550996910235583</v>
      </c>
      <c r="F5" s="6">
        <f t="shared" si="2"/>
        <v>1569.3097877610446</v>
      </c>
      <c r="G5" s="4">
        <f t="shared" si="3"/>
        <v>1928.5545153602527</v>
      </c>
    </row>
    <row r="6" spans="1:10">
      <c r="A6" s="3">
        <v>5</v>
      </c>
      <c r="B6" s="4">
        <f t="shared" si="4"/>
        <v>13915.376746687576</v>
      </c>
      <c r="C6" s="5">
        <v>0.24</v>
      </c>
      <c r="D6" s="4">
        <f t="shared" si="0"/>
        <v>278.30753493375153</v>
      </c>
      <c r="E6" s="4">
        <f t="shared" si="1"/>
        <v>44.529205589400242</v>
      </c>
      <c r="F6" s="6">
        <f t="shared" si="2"/>
        <v>1605.7177748371009</v>
      </c>
      <c r="G6" s="4">
        <f t="shared" si="3"/>
        <v>1928.5545153602527</v>
      </c>
    </row>
    <row r="7" spans="1:10">
      <c r="A7" s="3">
        <v>6</v>
      </c>
      <c r="B7" s="4">
        <f t="shared" si="4"/>
        <v>12309.658971850475</v>
      </c>
      <c r="C7" s="5">
        <v>0.24</v>
      </c>
      <c r="D7" s="4">
        <f t="shared" si="0"/>
        <v>246.19317943700949</v>
      </c>
      <c r="E7" s="4">
        <f t="shared" si="1"/>
        <v>39.390908709921518</v>
      </c>
      <c r="F7" s="6">
        <f t="shared" si="2"/>
        <v>1642.9704272133217</v>
      </c>
      <c r="G7" s="4">
        <f t="shared" si="3"/>
        <v>1928.5545153602527</v>
      </c>
    </row>
    <row r="8" spans="1:10">
      <c r="A8" s="3">
        <v>7</v>
      </c>
      <c r="B8" s="4">
        <f t="shared" si="4"/>
        <v>10666.688544637153</v>
      </c>
      <c r="C8" s="5">
        <v>0.24</v>
      </c>
      <c r="D8" s="4">
        <f t="shared" si="0"/>
        <v>213.33377089274305</v>
      </c>
      <c r="E8" s="4">
        <f t="shared" si="1"/>
        <v>34.133403342838889</v>
      </c>
      <c r="F8" s="6">
        <f t="shared" si="2"/>
        <v>1681.0873411246707</v>
      </c>
      <c r="G8" s="4">
        <f t="shared" si="3"/>
        <v>1928.5545153602527</v>
      </c>
    </row>
    <row r="9" spans="1:10">
      <c r="A9" s="3">
        <v>8</v>
      </c>
      <c r="B9" s="4">
        <f t="shared" si="4"/>
        <v>8985.6012035124822</v>
      </c>
      <c r="C9" s="5">
        <v>0.24</v>
      </c>
      <c r="D9" s="4">
        <f t="shared" si="0"/>
        <v>179.71202407024964</v>
      </c>
      <c r="E9" s="4">
        <f t="shared" si="1"/>
        <v>28.753923851239943</v>
      </c>
      <c r="F9" s="6">
        <f t="shared" si="2"/>
        <v>1720.0885674387632</v>
      </c>
      <c r="G9" s="4">
        <f t="shared" si="3"/>
        <v>1928.5545153602527</v>
      </c>
    </row>
    <row r="10" spans="1:10">
      <c r="A10" s="3">
        <v>9</v>
      </c>
      <c r="B10" s="4">
        <f t="shared" si="4"/>
        <v>7265.5126360737195</v>
      </c>
      <c r="C10" s="5">
        <v>0.24</v>
      </c>
      <c r="D10" s="4">
        <f t="shared" si="0"/>
        <v>145.31025272147437</v>
      </c>
      <c r="E10" s="4">
        <f t="shared" si="1"/>
        <v>23.2496404354359</v>
      </c>
      <c r="F10" s="6">
        <f t="shared" si="2"/>
        <v>1759.9946222033425</v>
      </c>
      <c r="G10" s="4">
        <f t="shared" si="3"/>
        <v>1928.5545153602527</v>
      </c>
    </row>
    <row r="11" spans="1:10">
      <c r="A11" s="3">
        <v>10</v>
      </c>
      <c r="B11" s="4">
        <f t="shared" si="4"/>
        <v>5505.5180138703772</v>
      </c>
      <c r="C11" s="5">
        <v>0.24</v>
      </c>
      <c r="D11" s="4">
        <f t="shared" si="0"/>
        <v>110.11036027740754</v>
      </c>
      <c r="E11" s="4">
        <f t="shared" si="1"/>
        <v>17.617657644385208</v>
      </c>
      <c r="F11" s="6">
        <f t="shared" si="2"/>
        <v>1800.8264974384599</v>
      </c>
      <c r="G11" s="4">
        <f t="shared" si="3"/>
        <v>1928.5545153602527</v>
      </c>
    </row>
    <row r="12" spans="1:10">
      <c r="A12" s="3">
        <v>11</v>
      </c>
      <c r="B12" s="4">
        <f t="shared" si="4"/>
        <v>3704.6915164319171</v>
      </c>
      <c r="C12" s="5">
        <v>0.24</v>
      </c>
      <c r="D12" s="4">
        <f t="shared" si="0"/>
        <v>74.093830328638333</v>
      </c>
      <c r="E12" s="4">
        <f t="shared" si="1"/>
        <v>11.855012852582133</v>
      </c>
      <c r="F12" s="6">
        <f t="shared" si="2"/>
        <v>1842.6056721790321</v>
      </c>
      <c r="G12" s="4">
        <f t="shared" si="3"/>
        <v>1928.5545153602527</v>
      </c>
    </row>
    <row r="13" spans="1:10">
      <c r="A13" s="3">
        <v>12</v>
      </c>
      <c r="B13" s="4">
        <f t="shared" si="4"/>
        <v>1862.085844252885</v>
      </c>
      <c r="C13" s="5">
        <v>0.24</v>
      </c>
      <c r="D13" s="4">
        <f t="shared" si="0"/>
        <v>37.241716885057699</v>
      </c>
      <c r="E13" s="4">
        <f t="shared" si="1"/>
        <v>5.9586747016092323</v>
      </c>
      <c r="F13" s="6">
        <f t="shared" si="2"/>
        <v>1885.3541237735858</v>
      </c>
      <c r="G13" s="4">
        <f t="shared" si="3"/>
        <v>1928.5545153602527</v>
      </c>
    </row>
    <row r="14" spans="1:10">
      <c r="A14" s="3">
        <v>13</v>
      </c>
      <c r="B14" s="4">
        <v>20000</v>
      </c>
      <c r="C14" s="5">
        <v>0.24</v>
      </c>
      <c r="D14" s="4">
        <f t="shared" si="0"/>
        <v>400</v>
      </c>
      <c r="E14" s="4">
        <f t="shared" si="1"/>
        <v>64</v>
      </c>
      <c r="F14" s="6">
        <f t="shared" si="2"/>
        <v>1464.5545153602527</v>
      </c>
      <c r="G14" s="4">
        <f t="shared" si="3"/>
        <v>1928.5545153602527</v>
      </c>
    </row>
    <row r="15" spans="1:10">
      <c r="A15" s="3">
        <v>14</v>
      </c>
      <c r="B15" s="4">
        <f>B14-F14</f>
        <v>18535.445484639746</v>
      </c>
      <c r="C15" s="5">
        <v>0.24</v>
      </c>
      <c r="D15" s="4">
        <f t="shared" si="0"/>
        <v>370.70890969279486</v>
      </c>
      <c r="E15" s="4">
        <f t="shared" si="1"/>
        <v>59.313425550847178</v>
      </c>
      <c r="F15" s="6">
        <f t="shared" si="2"/>
        <v>1498.5321801166108</v>
      </c>
      <c r="G15" s="4">
        <f t="shared" ref="G15:G25" si="5">G14</f>
        <v>1928.5545153602527</v>
      </c>
    </row>
    <row r="16" spans="1:10">
      <c r="A16" s="3">
        <v>15</v>
      </c>
      <c r="B16" s="4">
        <f t="shared" ref="B16:B25" si="6">B15-F15</f>
        <v>17036.913304523136</v>
      </c>
      <c r="C16" s="5">
        <v>0.24</v>
      </c>
      <c r="D16" s="4">
        <f t="shared" si="0"/>
        <v>340.73826609046267</v>
      </c>
      <c r="E16" s="4">
        <f t="shared" si="1"/>
        <v>54.518122574474027</v>
      </c>
      <c r="F16" s="6">
        <f t="shared" si="2"/>
        <v>1533.2981266953159</v>
      </c>
      <c r="G16" s="4">
        <f t="shared" si="5"/>
        <v>1928.5545153602527</v>
      </c>
    </row>
    <row r="17" spans="1:7">
      <c r="A17" s="3">
        <v>16</v>
      </c>
      <c r="B17" s="4">
        <f t="shared" si="6"/>
        <v>15503.61517782782</v>
      </c>
      <c r="C17" s="5">
        <v>0.24</v>
      </c>
      <c r="D17" s="4">
        <f t="shared" si="0"/>
        <v>310.07230355655639</v>
      </c>
      <c r="E17" s="4">
        <f t="shared" si="1"/>
        <v>49.611568569049027</v>
      </c>
      <c r="F17" s="6">
        <f t="shared" si="2"/>
        <v>1568.8706432346473</v>
      </c>
      <c r="G17" s="4">
        <f t="shared" si="5"/>
        <v>1928.5545153602527</v>
      </c>
    </row>
    <row r="18" spans="1:7">
      <c r="A18" s="3">
        <v>17</v>
      </c>
      <c r="B18" s="4">
        <f t="shared" si="6"/>
        <v>13934.744534593172</v>
      </c>
      <c r="C18" s="5">
        <v>0.24</v>
      </c>
      <c r="D18" s="4">
        <f t="shared" si="0"/>
        <v>278.69489069186346</v>
      </c>
      <c r="E18" s="4">
        <f t="shared" si="1"/>
        <v>44.591182510698154</v>
      </c>
      <c r="F18" s="6">
        <f t="shared" si="2"/>
        <v>1605.268442157691</v>
      </c>
      <c r="G18" s="4">
        <f t="shared" si="5"/>
        <v>1928.5545153602527</v>
      </c>
    </row>
    <row r="19" spans="1:7">
      <c r="A19" s="3">
        <v>18</v>
      </c>
      <c r="B19" s="4">
        <f t="shared" si="6"/>
        <v>12329.476092435481</v>
      </c>
      <c r="C19" s="5">
        <v>0.24</v>
      </c>
      <c r="D19" s="4">
        <f t="shared" si="0"/>
        <v>246.58952184870964</v>
      </c>
      <c r="E19" s="4">
        <f t="shared" si="1"/>
        <v>39.454323495793545</v>
      </c>
      <c r="F19" s="6">
        <f t="shared" si="2"/>
        <v>1642.5106700157496</v>
      </c>
      <c r="G19" s="4">
        <f t="shared" si="5"/>
        <v>1928.5545153602527</v>
      </c>
    </row>
    <row r="20" spans="1:7">
      <c r="A20" s="3">
        <v>19</v>
      </c>
      <c r="B20" s="4">
        <f t="shared" si="6"/>
        <v>10686.965422419731</v>
      </c>
      <c r="C20" s="5">
        <v>0.24</v>
      </c>
      <c r="D20" s="4">
        <f t="shared" si="0"/>
        <v>213.73930844839461</v>
      </c>
      <c r="E20" s="4">
        <f t="shared" si="1"/>
        <v>34.198289351743135</v>
      </c>
      <c r="F20" s="6">
        <f t="shared" si="2"/>
        <v>1680.6169175601149</v>
      </c>
      <c r="G20" s="4">
        <f t="shared" si="5"/>
        <v>1928.5545153602527</v>
      </c>
    </row>
    <row r="21" spans="1:7">
      <c r="A21" s="3">
        <v>20</v>
      </c>
      <c r="B21" s="4">
        <f t="shared" si="6"/>
        <v>9006.3485048596158</v>
      </c>
      <c r="C21" s="5">
        <v>0.24</v>
      </c>
      <c r="D21" s="4">
        <f t="shared" si="0"/>
        <v>180.1269700971923</v>
      </c>
      <c r="E21" s="4">
        <f t="shared" si="1"/>
        <v>28.820315215550767</v>
      </c>
      <c r="F21" s="6">
        <f t="shared" si="2"/>
        <v>1719.6072300475096</v>
      </c>
      <c r="G21" s="4">
        <f t="shared" si="5"/>
        <v>1928.5545153602527</v>
      </c>
    </row>
    <row r="22" spans="1:7">
      <c r="A22" s="3">
        <v>21</v>
      </c>
      <c r="B22" s="4">
        <f t="shared" si="6"/>
        <v>7286.741274812106</v>
      </c>
      <c r="C22" s="5">
        <v>0.24</v>
      </c>
      <c r="D22" s="4">
        <f t="shared" si="0"/>
        <v>145.73482549624211</v>
      </c>
      <c r="E22" s="4">
        <f t="shared" si="1"/>
        <v>23.317572079398737</v>
      </c>
      <c r="F22" s="6">
        <f t="shared" si="2"/>
        <v>1759.5021177846118</v>
      </c>
      <c r="G22" s="4">
        <f t="shared" si="5"/>
        <v>1928.5545153602527</v>
      </c>
    </row>
    <row r="23" spans="1:7">
      <c r="A23" s="3">
        <v>22</v>
      </c>
      <c r="B23" s="4">
        <f t="shared" si="6"/>
        <v>5527.239157027494</v>
      </c>
      <c r="C23" s="5">
        <v>0.24</v>
      </c>
      <c r="D23" s="4">
        <f t="shared" si="0"/>
        <v>110.54478314054988</v>
      </c>
      <c r="E23" s="4">
        <f t="shared" si="1"/>
        <v>17.68716530248798</v>
      </c>
      <c r="F23" s="6">
        <f t="shared" si="2"/>
        <v>1800.3225669172148</v>
      </c>
      <c r="G23" s="4">
        <f t="shared" si="5"/>
        <v>1928.5545153602527</v>
      </c>
    </row>
    <row r="24" spans="1:7">
      <c r="A24" s="3">
        <v>23</v>
      </c>
      <c r="B24" s="4">
        <f t="shared" si="6"/>
        <v>3726.9165901102792</v>
      </c>
      <c r="C24" s="5">
        <v>0.24</v>
      </c>
      <c r="D24" s="4">
        <f t="shared" si="0"/>
        <v>74.538331802205576</v>
      </c>
      <c r="E24" s="4">
        <f t="shared" si="1"/>
        <v>11.926133088352893</v>
      </c>
      <c r="F24" s="6">
        <f t="shared" si="2"/>
        <v>1842.0900504696942</v>
      </c>
      <c r="G24" s="4">
        <f t="shared" si="5"/>
        <v>1928.5545153602527</v>
      </c>
    </row>
    <row r="25" spans="1:7">
      <c r="A25" s="3">
        <v>24</v>
      </c>
      <c r="B25" s="4">
        <f t="shared" si="6"/>
        <v>1884.826539640585</v>
      </c>
      <c r="C25" s="5">
        <v>0.24</v>
      </c>
      <c r="D25" s="4">
        <f t="shared" si="0"/>
        <v>37.6965307928117</v>
      </c>
      <c r="E25" s="4">
        <f t="shared" si="1"/>
        <v>6.031444926849872</v>
      </c>
      <c r="F25" s="6">
        <f t="shared" si="2"/>
        <v>1884.8265396405911</v>
      </c>
      <c r="G25" s="4">
        <f t="shared" si="5"/>
        <v>1928.5545153602527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zoomScale="160" zoomScaleNormal="160" workbookViewId="0">
      <selection activeCell="F25" sqref="F25"/>
    </sheetView>
  </sheetViews>
  <sheetFormatPr baseColWidth="10" defaultRowHeight="12.75"/>
  <cols>
    <col min="2" max="2" width="16.5" customWidth="1"/>
  </cols>
  <sheetData>
    <row r="1" spans="1:7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4</v>
      </c>
      <c r="G1" s="1" t="s">
        <v>11</v>
      </c>
    </row>
    <row r="2" spans="1:7">
      <c r="A2" s="3">
        <v>1</v>
      </c>
      <c r="B2" s="4">
        <v>6350</v>
      </c>
      <c r="C2" s="5">
        <v>0.24</v>
      </c>
      <c r="D2" s="4">
        <f>(B2*C2)/12</f>
        <v>127</v>
      </c>
      <c r="E2" s="4">
        <f>D2*0.16</f>
        <v>20.32</v>
      </c>
      <c r="F2" s="6">
        <f>G2-D2-E2</f>
        <v>200.70444866963493</v>
      </c>
      <c r="G2" s="4">
        <f>PMT((C2*1.16/12),24,-B2,0,0)</f>
        <v>348.02444866963492</v>
      </c>
    </row>
    <row r="3" spans="1:7">
      <c r="A3" s="3">
        <v>2</v>
      </c>
      <c r="B3" s="4">
        <f>B2-F2</f>
        <v>6149.295551330365</v>
      </c>
      <c r="C3" s="5">
        <v>0.24</v>
      </c>
      <c r="D3" s="4">
        <f t="shared" ref="D3:D25" si="0">(B3*C3)/12</f>
        <v>122.9859110266073</v>
      </c>
      <c r="E3" s="4">
        <f t="shared" ref="E3:E25" si="1">D3*0.16</f>
        <v>19.677745764257168</v>
      </c>
      <c r="F3" s="6">
        <f t="shared" ref="F3:F25" si="2">G3-D3-E3</f>
        <v>205.36079187877044</v>
      </c>
      <c r="G3" s="4">
        <f t="shared" ref="G3:G14" si="3">G2</f>
        <v>348.02444866963492</v>
      </c>
    </row>
    <row r="4" spans="1:7">
      <c r="A4" s="3">
        <v>3</v>
      </c>
      <c r="B4" s="4">
        <f t="shared" ref="B4:B25" si="4">B3-F3</f>
        <v>5943.9347594515948</v>
      </c>
      <c r="C4" s="5">
        <v>0.24</v>
      </c>
      <c r="D4" s="4">
        <f t="shared" si="0"/>
        <v>118.87869518903189</v>
      </c>
      <c r="E4" s="4">
        <f t="shared" si="1"/>
        <v>19.020591230245103</v>
      </c>
      <c r="F4" s="6">
        <f t="shared" si="2"/>
        <v>210.12516225035796</v>
      </c>
      <c r="G4" s="4">
        <f t="shared" si="3"/>
        <v>348.02444866963492</v>
      </c>
    </row>
    <row r="5" spans="1:7">
      <c r="A5" s="3">
        <v>4</v>
      </c>
      <c r="B5" s="4">
        <f t="shared" si="4"/>
        <v>5733.809597201237</v>
      </c>
      <c r="C5" s="5">
        <v>0.24</v>
      </c>
      <c r="D5" s="4">
        <f t="shared" si="0"/>
        <v>114.67619194402472</v>
      </c>
      <c r="E5" s="4">
        <f t="shared" si="1"/>
        <v>18.348190711043955</v>
      </c>
      <c r="F5" s="6">
        <f t="shared" si="2"/>
        <v>215.00006601456624</v>
      </c>
      <c r="G5" s="4">
        <f t="shared" si="3"/>
        <v>348.02444866963492</v>
      </c>
    </row>
    <row r="6" spans="1:7">
      <c r="A6" s="3">
        <v>5</v>
      </c>
      <c r="B6" s="4">
        <f t="shared" si="4"/>
        <v>5518.8095311866709</v>
      </c>
      <c r="C6" s="5">
        <v>0.24</v>
      </c>
      <c r="D6" s="4">
        <f t="shared" si="0"/>
        <v>110.37619062373341</v>
      </c>
      <c r="E6" s="4">
        <f t="shared" si="1"/>
        <v>17.660190499797345</v>
      </c>
      <c r="F6" s="6">
        <f t="shared" si="2"/>
        <v>219.98806754610416</v>
      </c>
      <c r="G6" s="4">
        <f t="shared" si="3"/>
        <v>348.02444866963492</v>
      </c>
    </row>
    <row r="7" spans="1:7">
      <c r="A7" s="3">
        <v>6</v>
      </c>
      <c r="B7" s="4">
        <f t="shared" si="4"/>
        <v>5298.8214636405664</v>
      </c>
      <c r="C7" s="5">
        <v>0.24</v>
      </c>
      <c r="D7" s="4">
        <f t="shared" si="0"/>
        <v>105.97642927281133</v>
      </c>
      <c r="E7" s="4">
        <f t="shared" si="1"/>
        <v>16.956228683649812</v>
      </c>
      <c r="F7" s="6">
        <f t="shared" si="2"/>
        <v>225.09179071317376</v>
      </c>
      <c r="G7" s="4">
        <f t="shared" si="3"/>
        <v>348.02444866963492</v>
      </c>
    </row>
    <row r="8" spans="1:7">
      <c r="A8" s="3">
        <v>7</v>
      </c>
      <c r="B8" s="4">
        <f t="shared" si="4"/>
        <v>5073.729672927393</v>
      </c>
      <c r="C8" s="5">
        <v>0.24</v>
      </c>
      <c r="D8" s="4">
        <f t="shared" si="0"/>
        <v>101.47459345854786</v>
      </c>
      <c r="E8" s="4">
        <f t="shared" si="1"/>
        <v>16.235934953367657</v>
      </c>
      <c r="F8" s="6">
        <f t="shared" si="2"/>
        <v>230.31392025771939</v>
      </c>
      <c r="G8" s="4">
        <f t="shared" si="3"/>
        <v>348.02444866963492</v>
      </c>
    </row>
    <row r="9" spans="1:7">
      <c r="A9" s="3">
        <v>8</v>
      </c>
      <c r="B9" s="4">
        <f t="shared" si="4"/>
        <v>4843.4157526696736</v>
      </c>
      <c r="C9" s="5">
        <v>0.24</v>
      </c>
      <c r="D9" s="4">
        <f t="shared" si="0"/>
        <v>96.868315053393474</v>
      </c>
      <c r="E9" s="4">
        <f t="shared" si="1"/>
        <v>15.498930408542956</v>
      </c>
      <c r="F9" s="6">
        <f t="shared" si="2"/>
        <v>235.6572032076985</v>
      </c>
      <c r="G9" s="4">
        <f t="shared" si="3"/>
        <v>348.02444866963492</v>
      </c>
    </row>
    <row r="10" spans="1:7">
      <c r="A10" s="3">
        <v>9</v>
      </c>
      <c r="B10" s="4">
        <f t="shared" si="4"/>
        <v>4607.7585494619752</v>
      </c>
      <c r="C10" s="5">
        <v>0.24</v>
      </c>
      <c r="D10" s="4">
        <f t="shared" si="0"/>
        <v>92.155170989239494</v>
      </c>
      <c r="E10" s="4">
        <f t="shared" si="1"/>
        <v>14.74482735827832</v>
      </c>
      <c r="F10" s="6">
        <f t="shared" si="2"/>
        <v>241.12445032211713</v>
      </c>
      <c r="G10" s="4">
        <f t="shared" si="3"/>
        <v>348.02444866963492</v>
      </c>
    </row>
    <row r="11" spans="1:7">
      <c r="A11" s="3">
        <v>10</v>
      </c>
      <c r="B11" s="4">
        <f t="shared" si="4"/>
        <v>4366.6340991398583</v>
      </c>
      <c r="C11" s="5">
        <v>0.24</v>
      </c>
      <c r="D11" s="4">
        <f t="shared" si="0"/>
        <v>87.332681982797169</v>
      </c>
      <c r="E11" s="4">
        <f t="shared" si="1"/>
        <v>13.973229117247547</v>
      </c>
      <c r="F11" s="6">
        <f t="shared" si="2"/>
        <v>246.71853756959021</v>
      </c>
      <c r="G11" s="4">
        <f t="shared" si="3"/>
        <v>348.02444866963492</v>
      </c>
    </row>
    <row r="12" spans="1:7">
      <c r="A12" s="3">
        <v>11</v>
      </c>
      <c r="B12" s="4">
        <f t="shared" si="4"/>
        <v>4119.9155615702684</v>
      </c>
      <c r="C12" s="5">
        <v>0.24</v>
      </c>
      <c r="D12" s="4">
        <f t="shared" si="0"/>
        <v>82.398311231405373</v>
      </c>
      <c r="E12" s="4">
        <f t="shared" si="1"/>
        <v>13.18372979702486</v>
      </c>
      <c r="F12" s="6">
        <f t="shared" si="2"/>
        <v>252.44240764120468</v>
      </c>
      <c r="G12" s="4">
        <f t="shared" si="3"/>
        <v>348.02444866963492</v>
      </c>
    </row>
    <row r="13" spans="1:7">
      <c r="A13" s="3">
        <v>12</v>
      </c>
      <c r="B13" s="4">
        <f t="shared" si="4"/>
        <v>3867.4731539290638</v>
      </c>
      <c r="C13" s="5">
        <v>0.24</v>
      </c>
      <c r="D13" s="4">
        <f t="shared" si="0"/>
        <v>77.34946307858128</v>
      </c>
      <c r="E13" s="4">
        <f t="shared" si="1"/>
        <v>12.375914092573005</v>
      </c>
      <c r="F13" s="6">
        <f t="shared" si="2"/>
        <v>258.29907149848066</v>
      </c>
      <c r="G13" s="4">
        <f t="shared" si="3"/>
        <v>348.02444866963492</v>
      </c>
    </row>
    <row r="14" spans="1:7">
      <c r="A14" s="3">
        <v>13</v>
      </c>
      <c r="B14" s="4">
        <f t="shared" si="4"/>
        <v>3609.174082430583</v>
      </c>
      <c r="C14" s="5">
        <v>0.24</v>
      </c>
      <c r="D14" s="4">
        <f t="shared" si="0"/>
        <v>72.183481648611661</v>
      </c>
      <c r="E14" s="4">
        <f t="shared" si="1"/>
        <v>11.549357063777865</v>
      </c>
      <c r="F14" s="6">
        <f t="shared" si="2"/>
        <v>264.29160995724544</v>
      </c>
      <c r="G14" s="4">
        <f t="shared" si="3"/>
        <v>348.02444866963492</v>
      </c>
    </row>
    <row r="15" spans="1:7">
      <c r="A15" s="3">
        <v>14</v>
      </c>
      <c r="B15" s="4">
        <f t="shared" si="4"/>
        <v>3344.8824724733377</v>
      </c>
      <c r="C15" s="5">
        <v>0.24</v>
      </c>
      <c r="D15" s="4">
        <f t="shared" si="0"/>
        <v>66.897649449466755</v>
      </c>
      <c r="E15" s="4">
        <f t="shared" si="1"/>
        <v>10.703623911914681</v>
      </c>
      <c r="F15" s="6">
        <f t="shared" si="2"/>
        <v>270.42317530825346</v>
      </c>
      <c r="G15" s="4">
        <f t="shared" ref="G15:G25" si="5">G14</f>
        <v>348.02444866963492</v>
      </c>
    </row>
    <row r="16" spans="1:7">
      <c r="A16" s="3">
        <v>15</v>
      </c>
      <c r="B16" s="4">
        <f t="shared" si="4"/>
        <v>3074.4592971650841</v>
      </c>
      <c r="C16" s="5">
        <v>0.24</v>
      </c>
      <c r="D16" s="4">
        <f t="shared" si="0"/>
        <v>61.489185943301685</v>
      </c>
      <c r="E16" s="4">
        <f t="shared" si="1"/>
        <v>9.8382697509282693</v>
      </c>
      <c r="F16" s="6">
        <f t="shared" si="2"/>
        <v>276.69699297540501</v>
      </c>
      <c r="G16" s="4">
        <f t="shared" si="5"/>
        <v>348.02444866963492</v>
      </c>
    </row>
    <row r="17" spans="1:7">
      <c r="A17" s="3">
        <v>16</v>
      </c>
      <c r="B17" s="4">
        <f t="shared" si="4"/>
        <v>2797.7623041896791</v>
      </c>
      <c r="C17" s="5">
        <v>0.24</v>
      </c>
      <c r="D17" s="4">
        <f t="shared" si="0"/>
        <v>55.955246083793583</v>
      </c>
      <c r="E17" s="4">
        <f t="shared" si="1"/>
        <v>8.9528393734069738</v>
      </c>
      <c r="F17" s="6">
        <f t="shared" si="2"/>
        <v>283.11636321243441</v>
      </c>
      <c r="G17" s="4">
        <f t="shared" si="5"/>
        <v>348.02444866963492</v>
      </c>
    </row>
    <row r="18" spans="1:7">
      <c r="A18" s="3">
        <v>17</v>
      </c>
      <c r="B18" s="4">
        <f t="shared" si="4"/>
        <v>2514.6459409772447</v>
      </c>
      <c r="C18" s="5">
        <v>0.24</v>
      </c>
      <c r="D18" s="4">
        <f t="shared" si="0"/>
        <v>50.292918819544894</v>
      </c>
      <c r="E18" s="4">
        <f t="shared" si="1"/>
        <v>8.0468670111271834</v>
      </c>
      <c r="F18" s="6">
        <f t="shared" si="2"/>
        <v>289.68466283896288</v>
      </c>
      <c r="G18" s="4">
        <f t="shared" si="5"/>
        <v>348.02444866963492</v>
      </c>
    </row>
    <row r="19" spans="1:7">
      <c r="A19" s="3">
        <v>18</v>
      </c>
      <c r="B19" s="4">
        <f t="shared" si="4"/>
        <v>2224.9612781382816</v>
      </c>
      <c r="C19" s="5">
        <v>0.24</v>
      </c>
      <c r="D19" s="4">
        <f t="shared" si="0"/>
        <v>44.499225562765638</v>
      </c>
      <c r="E19" s="4">
        <f t="shared" si="1"/>
        <v>7.119876090042502</v>
      </c>
      <c r="F19" s="6">
        <f t="shared" si="2"/>
        <v>296.40534701682679</v>
      </c>
      <c r="G19" s="4">
        <f t="shared" si="5"/>
        <v>348.02444866963492</v>
      </c>
    </row>
    <row r="20" spans="1:7">
      <c r="A20" s="3">
        <v>19</v>
      </c>
      <c r="B20" s="4">
        <f t="shared" si="4"/>
        <v>1928.5559311214547</v>
      </c>
      <c r="C20" s="5">
        <v>0.24</v>
      </c>
      <c r="D20" s="4">
        <f t="shared" si="0"/>
        <v>38.57111862242909</v>
      </c>
      <c r="E20" s="4">
        <f t="shared" si="1"/>
        <v>6.1713789795886544</v>
      </c>
      <c r="F20" s="6">
        <f t="shared" si="2"/>
        <v>303.28195106761717</v>
      </c>
      <c r="G20" s="4">
        <f t="shared" si="5"/>
        <v>348.02444866963492</v>
      </c>
    </row>
    <row r="21" spans="1:7">
      <c r="A21" s="3">
        <v>20</v>
      </c>
      <c r="B21" s="4">
        <f t="shared" si="4"/>
        <v>1625.2739800538375</v>
      </c>
      <c r="C21" s="5">
        <v>0.24</v>
      </c>
      <c r="D21" s="4">
        <f t="shared" si="0"/>
        <v>32.50547960107675</v>
      </c>
      <c r="E21" s="4">
        <f t="shared" si="1"/>
        <v>5.2008767361722805</v>
      </c>
      <c r="F21" s="6">
        <f t="shared" si="2"/>
        <v>310.3180923323859</v>
      </c>
      <c r="G21" s="4">
        <f t="shared" si="5"/>
        <v>348.02444866963492</v>
      </c>
    </row>
    <row r="22" spans="1:7">
      <c r="A22" s="3">
        <v>21</v>
      </c>
      <c r="B22" s="4">
        <f t="shared" si="4"/>
        <v>1314.9558877214515</v>
      </c>
      <c r="C22" s="5">
        <v>0.24</v>
      </c>
      <c r="D22" s="4">
        <f t="shared" si="0"/>
        <v>26.29911775442903</v>
      </c>
      <c r="E22" s="4">
        <f t="shared" si="1"/>
        <v>4.2078588407086448</v>
      </c>
      <c r="F22" s="6">
        <f t="shared" si="2"/>
        <v>317.51747207449728</v>
      </c>
      <c r="G22" s="4">
        <f t="shared" si="5"/>
        <v>348.02444866963492</v>
      </c>
    </row>
    <row r="23" spans="1:7">
      <c r="A23" s="3">
        <v>22</v>
      </c>
      <c r="B23" s="4">
        <f t="shared" si="4"/>
        <v>997.43841564695424</v>
      </c>
      <c r="C23" s="5">
        <v>0.24</v>
      </c>
      <c r="D23" s="4">
        <f t="shared" si="0"/>
        <v>19.948768312939084</v>
      </c>
      <c r="E23" s="4">
        <f t="shared" si="1"/>
        <v>3.1918029300702533</v>
      </c>
      <c r="F23" s="6">
        <f t="shared" si="2"/>
        <v>324.88387742662559</v>
      </c>
      <c r="G23" s="4">
        <f t="shared" si="5"/>
        <v>348.02444866963492</v>
      </c>
    </row>
    <row r="24" spans="1:7">
      <c r="A24" s="3">
        <v>23</v>
      </c>
      <c r="B24" s="4">
        <f t="shared" si="4"/>
        <v>672.5545382203286</v>
      </c>
      <c r="C24" s="5">
        <v>0.24</v>
      </c>
      <c r="D24" s="4">
        <f t="shared" si="0"/>
        <v>13.451090764406572</v>
      </c>
      <c r="E24" s="4">
        <f t="shared" si="1"/>
        <v>2.1521745223050517</v>
      </c>
      <c r="F24" s="6">
        <f t="shared" si="2"/>
        <v>332.42118338292329</v>
      </c>
      <c r="G24" s="4">
        <f t="shared" si="5"/>
        <v>348.02444866963492</v>
      </c>
    </row>
    <row r="25" spans="1:7">
      <c r="A25" s="3">
        <v>24</v>
      </c>
      <c r="B25" s="4">
        <f t="shared" si="4"/>
        <v>340.13335483740531</v>
      </c>
      <c r="C25" s="5">
        <v>0.24</v>
      </c>
      <c r="D25" s="4">
        <f t="shared" si="0"/>
        <v>6.802667096748106</v>
      </c>
      <c r="E25" s="4">
        <f t="shared" si="1"/>
        <v>1.088426735479697</v>
      </c>
      <c r="F25" s="6">
        <f t="shared" si="2"/>
        <v>340.13335483740713</v>
      </c>
      <c r="G25" s="4">
        <f t="shared" si="5"/>
        <v>348.02444866963492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zoomScale="160" zoomScaleNormal="160" workbookViewId="0">
      <selection activeCell="J7" sqref="J7"/>
    </sheetView>
  </sheetViews>
  <sheetFormatPr baseColWidth="10" defaultRowHeight="12.75"/>
  <sheetData>
    <row r="1" spans="1:7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4</v>
      </c>
      <c r="G1" s="1" t="s">
        <v>11</v>
      </c>
    </row>
    <row r="2" spans="1:7">
      <c r="A2" s="3">
        <v>1</v>
      </c>
      <c r="B2" s="4">
        <v>8000</v>
      </c>
      <c r="C2" s="5">
        <v>0.24</v>
      </c>
      <c r="D2" s="4">
        <f>(B2*C2)/12</f>
        <v>160</v>
      </c>
      <c r="E2" s="4">
        <f>D2*0.16</f>
        <v>25.6</v>
      </c>
      <c r="F2" s="6">
        <f>G2-D2-E2</f>
        <v>252.85599832394954</v>
      </c>
      <c r="G2" s="4">
        <f>PMT((C2*1.16/12),24,-B2,0,0)</f>
        <v>438.45599832394953</v>
      </c>
    </row>
    <row r="3" spans="1:7">
      <c r="A3" s="3">
        <v>2</v>
      </c>
      <c r="B3" s="4">
        <f>B2-F2</f>
        <v>7747.1440016760507</v>
      </c>
      <c r="C3" s="5">
        <v>0.24</v>
      </c>
      <c r="D3" s="4">
        <f t="shared" ref="D3:D25" si="0">(B3*C3)/12</f>
        <v>154.94288003352099</v>
      </c>
      <c r="E3" s="4">
        <f t="shared" ref="E3:E25" si="1">D3*0.16</f>
        <v>24.790860805363359</v>
      </c>
      <c r="F3" s="6">
        <f t="shared" ref="F3:F25" si="2">G3-D3-E3</f>
        <v>258.7222574850652</v>
      </c>
      <c r="G3" s="4">
        <f t="shared" ref="G3:G14" si="3">G2</f>
        <v>438.45599832394953</v>
      </c>
    </row>
    <row r="4" spans="1:7">
      <c r="A4" s="3">
        <v>3</v>
      </c>
      <c r="B4" s="4">
        <f t="shared" ref="B4:B25" si="4">B3-F3</f>
        <v>7488.4217441909859</v>
      </c>
      <c r="C4" s="5">
        <v>0.24</v>
      </c>
      <c r="D4" s="4">
        <f t="shared" si="0"/>
        <v>149.76843488381971</v>
      </c>
      <c r="E4" s="4">
        <f t="shared" si="1"/>
        <v>23.962949581411152</v>
      </c>
      <c r="F4" s="6">
        <f t="shared" si="2"/>
        <v>264.72461385871861</v>
      </c>
      <c r="G4" s="4">
        <f t="shared" si="3"/>
        <v>438.45599832394953</v>
      </c>
    </row>
    <row r="5" spans="1:7">
      <c r="A5" s="3">
        <v>4</v>
      </c>
      <c r="B5" s="4">
        <f t="shared" si="4"/>
        <v>7223.6971303322671</v>
      </c>
      <c r="C5" s="5">
        <v>0.24</v>
      </c>
      <c r="D5" s="4">
        <f t="shared" si="0"/>
        <v>144.47394260664535</v>
      </c>
      <c r="E5" s="4">
        <f t="shared" si="1"/>
        <v>23.115830817063255</v>
      </c>
      <c r="F5" s="6">
        <f t="shared" si="2"/>
        <v>270.86622490024092</v>
      </c>
      <c r="G5" s="4">
        <f t="shared" si="3"/>
        <v>438.45599832394953</v>
      </c>
    </row>
    <row r="6" spans="1:7">
      <c r="A6" s="3">
        <v>5</v>
      </c>
      <c r="B6" s="4">
        <f t="shared" si="4"/>
        <v>6952.8309054320262</v>
      </c>
      <c r="C6" s="5">
        <v>0.24</v>
      </c>
      <c r="D6" s="4">
        <f t="shared" si="0"/>
        <v>139.05661810864052</v>
      </c>
      <c r="E6" s="4">
        <f t="shared" si="1"/>
        <v>22.249058897382483</v>
      </c>
      <c r="F6" s="6">
        <f t="shared" si="2"/>
        <v>277.15032131792651</v>
      </c>
      <c r="G6" s="4">
        <f t="shared" si="3"/>
        <v>438.45599832394953</v>
      </c>
    </row>
    <row r="7" spans="1:7">
      <c r="A7" s="3">
        <v>6</v>
      </c>
      <c r="B7" s="4">
        <f t="shared" si="4"/>
        <v>6675.6805841140995</v>
      </c>
      <c r="C7" s="5">
        <v>0.24</v>
      </c>
      <c r="D7" s="4">
        <f t="shared" si="0"/>
        <v>133.51361168228198</v>
      </c>
      <c r="E7" s="4">
        <f t="shared" si="1"/>
        <v>21.362177869165116</v>
      </c>
      <c r="F7" s="6">
        <f t="shared" si="2"/>
        <v>283.58020877250243</v>
      </c>
      <c r="G7" s="4">
        <f t="shared" si="3"/>
        <v>438.45599832394953</v>
      </c>
    </row>
    <row r="8" spans="1:7">
      <c r="A8" s="3">
        <v>7</v>
      </c>
      <c r="B8" s="4">
        <f t="shared" si="4"/>
        <v>6392.1003753415971</v>
      </c>
      <c r="C8" s="5">
        <v>0.24</v>
      </c>
      <c r="D8" s="4">
        <f t="shared" si="0"/>
        <v>127.84200750683193</v>
      </c>
      <c r="E8" s="4">
        <f t="shared" si="1"/>
        <v>20.454721201093111</v>
      </c>
      <c r="F8" s="6">
        <f t="shared" si="2"/>
        <v>290.15926961602452</v>
      </c>
      <c r="G8" s="4">
        <f t="shared" si="3"/>
        <v>438.45599832394953</v>
      </c>
    </row>
    <row r="9" spans="1:7">
      <c r="A9" s="3">
        <v>8</v>
      </c>
      <c r="B9" s="4">
        <f t="shared" si="4"/>
        <v>6101.9411057255729</v>
      </c>
      <c r="C9" s="5">
        <v>0.24</v>
      </c>
      <c r="D9" s="4">
        <f t="shared" si="0"/>
        <v>122.03882211451145</v>
      </c>
      <c r="E9" s="4">
        <f t="shared" si="1"/>
        <v>19.526211538321832</v>
      </c>
      <c r="F9" s="6">
        <f t="shared" si="2"/>
        <v>296.89096467111625</v>
      </c>
      <c r="G9" s="4">
        <f t="shared" si="3"/>
        <v>438.45599832394953</v>
      </c>
    </row>
    <row r="10" spans="1:7">
      <c r="A10" s="3">
        <v>9</v>
      </c>
      <c r="B10" s="4">
        <f t="shared" si="4"/>
        <v>5805.0501410544566</v>
      </c>
      <c r="C10" s="5">
        <v>0.24</v>
      </c>
      <c r="D10" s="4">
        <f t="shared" si="0"/>
        <v>116.10100282108912</v>
      </c>
      <c r="E10" s="4">
        <f t="shared" si="1"/>
        <v>18.57616045137426</v>
      </c>
      <c r="F10" s="6">
        <f t="shared" si="2"/>
        <v>303.77883505148611</v>
      </c>
      <c r="G10" s="4">
        <f t="shared" si="3"/>
        <v>438.45599832394953</v>
      </c>
    </row>
    <row r="11" spans="1:7">
      <c r="A11" s="3">
        <v>10</v>
      </c>
      <c r="B11" s="4">
        <f t="shared" si="4"/>
        <v>5501.271306002971</v>
      </c>
      <c r="C11" s="5">
        <v>0.24</v>
      </c>
      <c r="D11" s="4">
        <f t="shared" si="0"/>
        <v>110.02542612005942</v>
      </c>
      <c r="E11" s="4">
        <f t="shared" si="1"/>
        <v>17.604068179209509</v>
      </c>
      <c r="F11" s="6">
        <f t="shared" si="2"/>
        <v>310.82650402468062</v>
      </c>
      <c r="G11" s="4">
        <f t="shared" si="3"/>
        <v>438.45599832394953</v>
      </c>
    </row>
    <row r="12" spans="1:7">
      <c r="A12" s="3">
        <v>11</v>
      </c>
      <c r="B12" s="4">
        <f t="shared" si="4"/>
        <v>5190.4448019782903</v>
      </c>
      <c r="C12" s="5">
        <v>0.24</v>
      </c>
      <c r="D12" s="4">
        <f t="shared" si="0"/>
        <v>103.80889603956581</v>
      </c>
      <c r="E12" s="4">
        <f t="shared" si="1"/>
        <v>16.609423366330528</v>
      </c>
      <c r="F12" s="6">
        <f t="shared" si="2"/>
        <v>318.03767891805319</v>
      </c>
      <c r="G12" s="4">
        <f t="shared" si="3"/>
        <v>438.45599832394953</v>
      </c>
    </row>
    <row r="13" spans="1:7">
      <c r="A13" s="3">
        <v>12</v>
      </c>
      <c r="B13" s="4">
        <f t="shared" si="4"/>
        <v>4872.4071230602367</v>
      </c>
      <c r="C13" s="5">
        <v>0.24</v>
      </c>
      <c r="D13" s="4">
        <f t="shared" si="0"/>
        <v>97.448142461204725</v>
      </c>
      <c r="E13" s="4">
        <f t="shared" si="1"/>
        <v>15.591702793792756</v>
      </c>
      <c r="F13" s="6">
        <f t="shared" si="2"/>
        <v>325.41615306895204</v>
      </c>
      <c r="G13" s="4">
        <f t="shared" si="3"/>
        <v>438.45599832394953</v>
      </c>
    </row>
    <row r="14" spans="1:7">
      <c r="A14" s="3">
        <v>13</v>
      </c>
      <c r="B14" s="4">
        <f t="shared" si="4"/>
        <v>4546.9909699912851</v>
      </c>
      <c r="C14" s="5">
        <v>0.24</v>
      </c>
      <c r="D14" s="4">
        <f t="shared" si="0"/>
        <v>90.939819399825694</v>
      </c>
      <c r="E14" s="4">
        <f t="shared" si="1"/>
        <v>14.550371103972111</v>
      </c>
      <c r="F14" s="6">
        <f t="shared" si="2"/>
        <v>332.96580782015172</v>
      </c>
      <c r="G14" s="4">
        <f t="shared" si="3"/>
        <v>438.45599832394953</v>
      </c>
    </row>
    <row r="15" spans="1:7">
      <c r="A15" s="3">
        <v>14</v>
      </c>
      <c r="B15" s="4">
        <f t="shared" si="4"/>
        <v>4214.0251621711332</v>
      </c>
      <c r="C15" s="5">
        <v>0.24</v>
      </c>
      <c r="D15" s="4">
        <f t="shared" si="0"/>
        <v>84.280503243422658</v>
      </c>
      <c r="E15" s="4">
        <f t="shared" si="1"/>
        <v>13.484880518947625</v>
      </c>
      <c r="F15" s="6">
        <f t="shared" si="2"/>
        <v>340.6906145615792</v>
      </c>
      <c r="G15" s="4">
        <f t="shared" ref="G15:G25" si="5">G14</f>
        <v>438.45599832394953</v>
      </c>
    </row>
    <row r="16" spans="1:7">
      <c r="A16" s="3">
        <v>15</v>
      </c>
      <c r="B16" s="4">
        <f t="shared" si="4"/>
        <v>3873.3345476095537</v>
      </c>
      <c r="C16" s="5">
        <v>0.24</v>
      </c>
      <c r="D16" s="4">
        <f t="shared" si="0"/>
        <v>77.466690952191072</v>
      </c>
      <c r="E16" s="4">
        <f t="shared" si="1"/>
        <v>12.394670552350572</v>
      </c>
      <c r="F16" s="6">
        <f t="shared" si="2"/>
        <v>348.59463681940787</v>
      </c>
      <c r="G16" s="4">
        <f t="shared" si="5"/>
        <v>438.45599832394953</v>
      </c>
    </row>
    <row r="17" spans="1:7">
      <c r="A17" s="3">
        <v>16</v>
      </c>
      <c r="B17" s="4">
        <f t="shared" si="4"/>
        <v>3524.739910790146</v>
      </c>
      <c r="C17" s="5">
        <v>0.24</v>
      </c>
      <c r="D17" s="4">
        <f t="shared" si="0"/>
        <v>70.494798215802916</v>
      </c>
      <c r="E17" s="4">
        <f t="shared" si="1"/>
        <v>11.279167714528468</v>
      </c>
      <c r="F17" s="6">
        <f t="shared" si="2"/>
        <v>356.68203239361816</v>
      </c>
      <c r="G17" s="4">
        <f t="shared" si="5"/>
        <v>438.45599832394953</v>
      </c>
    </row>
    <row r="18" spans="1:7">
      <c r="A18" s="3">
        <v>17</v>
      </c>
      <c r="B18" s="4">
        <f t="shared" si="4"/>
        <v>3168.0578783965279</v>
      </c>
      <c r="C18" s="5">
        <v>0.24</v>
      </c>
      <c r="D18" s="4">
        <f t="shared" si="0"/>
        <v>63.361157567930555</v>
      </c>
      <c r="E18" s="4">
        <f t="shared" si="1"/>
        <v>10.13778521086889</v>
      </c>
      <c r="F18" s="6">
        <f t="shared" si="2"/>
        <v>364.95705554515007</v>
      </c>
      <c r="G18" s="4">
        <f t="shared" si="5"/>
        <v>438.45599832394953</v>
      </c>
    </row>
    <row r="19" spans="1:7">
      <c r="A19" s="3">
        <v>18</v>
      </c>
      <c r="B19" s="4">
        <f t="shared" si="4"/>
        <v>2803.1008228513779</v>
      </c>
      <c r="C19" s="5">
        <v>0.24</v>
      </c>
      <c r="D19" s="4">
        <f t="shared" si="0"/>
        <v>56.062016457027561</v>
      </c>
      <c r="E19" s="4">
        <f t="shared" si="1"/>
        <v>8.9699226331244102</v>
      </c>
      <c r="F19" s="6">
        <f t="shared" si="2"/>
        <v>373.42405923379761</v>
      </c>
      <c r="G19" s="4">
        <f t="shared" si="5"/>
        <v>438.45599832394953</v>
      </c>
    </row>
    <row r="20" spans="1:7">
      <c r="A20" s="3">
        <v>19</v>
      </c>
      <c r="B20" s="4">
        <f t="shared" si="4"/>
        <v>2429.67676361758</v>
      </c>
      <c r="C20" s="5">
        <v>0.24</v>
      </c>
      <c r="D20" s="4">
        <f t="shared" si="0"/>
        <v>48.593535272351602</v>
      </c>
      <c r="E20" s="4">
        <f t="shared" si="1"/>
        <v>7.7749656435762562</v>
      </c>
      <c r="F20" s="6">
        <f t="shared" si="2"/>
        <v>382.0874974080217</v>
      </c>
      <c r="G20" s="4">
        <f t="shared" si="5"/>
        <v>438.45599832394953</v>
      </c>
    </row>
    <row r="21" spans="1:7">
      <c r="A21" s="3">
        <v>20</v>
      </c>
      <c r="B21" s="4">
        <f t="shared" si="4"/>
        <v>2047.5892662095584</v>
      </c>
      <c r="C21" s="5">
        <v>0.24</v>
      </c>
      <c r="D21" s="4">
        <f t="shared" si="0"/>
        <v>40.951785324191171</v>
      </c>
      <c r="E21" s="4">
        <f t="shared" si="1"/>
        <v>6.5522856518705872</v>
      </c>
      <c r="F21" s="6">
        <f t="shared" si="2"/>
        <v>390.95192734788776</v>
      </c>
      <c r="G21" s="4">
        <f t="shared" si="5"/>
        <v>438.45599832394953</v>
      </c>
    </row>
    <row r="22" spans="1:7">
      <c r="A22" s="3">
        <v>21</v>
      </c>
      <c r="B22" s="4">
        <f t="shared" si="4"/>
        <v>1656.6373388616707</v>
      </c>
      <c r="C22" s="5">
        <v>0.24</v>
      </c>
      <c r="D22" s="4">
        <f t="shared" si="0"/>
        <v>33.132746777233415</v>
      </c>
      <c r="E22" s="4">
        <f t="shared" si="1"/>
        <v>5.301239484357346</v>
      </c>
      <c r="F22" s="6">
        <f t="shared" si="2"/>
        <v>400.02201206235878</v>
      </c>
      <c r="G22" s="4">
        <f t="shared" si="5"/>
        <v>438.45599832394953</v>
      </c>
    </row>
    <row r="23" spans="1:7">
      <c r="A23" s="3">
        <v>22</v>
      </c>
      <c r="B23" s="4">
        <f t="shared" si="4"/>
        <v>1256.615326799312</v>
      </c>
      <c r="C23" s="5">
        <v>0.24</v>
      </c>
      <c r="D23" s="4">
        <f t="shared" si="0"/>
        <v>25.132306535986242</v>
      </c>
      <c r="E23" s="4">
        <f t="shared" si="1"/>
        <v>4.0211690457577989</v>
      </c>
      <c r="F23" s="6">
        <f t="shared" si="2"/>
        <v>409.3025227422055</v>
      </c>
      <c r="G23" s="4">
        <f t="shared" si="5"/>
        <v>438.45599832394953</v>
      </c>
    </row>
    <row r="24" spans="1:7">
      <c r="A24" s="3">
        <v>23</v>
      </c>
      <c r="B24" s="4">
        <f t="shared" si="4"/>
        <v>847.31280405710652</v>
      </c>
      <c r="C24" s="5">
        <v>0.24</v>
      </c>
      <c r="D24" s="4">
        <f t="shared" si="0"/>
        <v>16.946256081142128</v>
      </c>
      <c r="E24" s="4">
        <f t="shared" si="1"/>
        <v>2.7114009729827404</v>
      </c>
      <c r="F24" s="6">
        <f t="shared" si="2"/>
        <v>418.79834126982468</v>
      </c>
      <c r="G24" s="4">
        <f t="shared" si="5"/>
        <v>438.45599832394953</v>
      </c>
    </row>
    <row r="25" spans="1:7">
      <c r="A25" s="3">
        <v>24</v>
      </c>
      <c r="B25" s="4">
        <f t="shared" si="4"/>
        <v>428.51446278728184</v>
      </c>
      <c r="C25" s="5">
        <v>0.24</v>
      </c>
      <c r="D25" s="4">
        <f t="shared" si="0"/>
        <v>8.5702892557456369</v>
      </c>
      <c r="E25" s="4">
        <f t="shared" si="1"/>
        <v>1.371246280919302</v>
      </c>
      <c r="F25" s="6">
        <f t="shared" si="2"/>
        <v>428.51446278728457</v>
      </c>
      <c r="G25" s="4">
        <f t="shared" si="5"/>
        <v>438.45599832394953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showGridLines="0" tabSelected="1" zoomScale="115" zoomScaleNormal="115" workbookViewId="0">
      <selection sqref="A1:M5"/>
    </sheetView>
  </sheetViews>
  <sheetFormatPr baseColWidth="10" defaultRowHeight="12.75"/>
  <cols>
    <col min="1" max="1" width="13.1640625" customWidth="1"/>
    <col min="2" max="2" width="15.5" customWidth="1"/>
    <col min="3" max="3" width="17.6640625" style="15" customWidth="1"/>
    <col min="4" max="4" width="14.5" customWidth="1"/>
    <col min="5" max="5" width="18.33203125" customWidth="1"/>
    <col min="6" max="6" width="19.6640625" customWidth="1"/>
    <col min="7" max="8" width="18.83203125" customWidth="1"/>
    <col min="9" max="11" width="18.33203125" customWidth="1"/>
    <col min="12" max="12" width="18.1640625" customWidth="1"/>
    <col min="13" max="13" width="19.33203125" customWidth="1"/>
  </cols>
  <sheetData>
    <row r="1" spans="1:13" ht="22.5">
      <c r="A1" s="1" t="s">
        <v>0</v>
      </c>
      <c r="B1" s="1" t="s">
        <v>1</v>
      </c>
      <c r="C1" s="13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/>
      <c r="I1" s="1" t="s">
        <v>13</v>
      </c>
      <c r="J1" s="1"/>
      <c r="K1" s="1" t="s">
        <v>7</v>
      </c>
      <c r="L1" s="11" t="s">
        <v>14</v>
      </c>
      <c r="M1" s="11" t="s">
        <v>15</v>
      </c>
    </row>
    <row r="2" spans="1:13">
      <c r="A2" s="3">
        <v>1</v>
      </c>
      <c r="B2" s="8">
        <f>ARRENDAMIENTO!B2+SEGURO!B2+PLACAS!B2+'GASTOS DE ARRENDAMIENTO'!B2</f>
        <v>1174159.93</v>
      </c>
      <c r="C2" s="14" t="s">
        <v>8</v>
      </c>
      <c r="D2" s="8">
        <f>ARRENDAMIENTO!D2+SEGURO!D2+PLACAS!D2+'GASTOS DE ARRENDAMIENTO'!D2</f>
        <v>23483.1986</v>
      </c>
      <c r="E2" s="4">
        <f>SEGURO!E2+PLACAS!E2+'GASTOS DE ARRENDAMIENTO'!E2</f>
        <v>91.84</v>
      </c>
      <c r="F2" s="8">
        <f>ARRENDAMIENTO!E2+SEGURO!F2+PLACAS!F2+'GASTOS DE ARRENDAMIENTO'!F2</f>
        <v>20192.376362353836</v>
      </c>
      <c r="G2" s="4">
        <f>K2/1.16</f>
        <v>43392.935312373993</v>
      </c>
      <c r="H2" s="16">
        <f>+D2+E2+F2</f>
        <v>43767.41496235384</v>
      </c>
      <c r="I2" s="4">
        <v>1920</v>
      </c>
      <c r="J2" s="16">
        <f>+H2+I2</f>
        <v>45687.41496235384</v>
      </c>
      <c r="K2" s="8">
        <f>ARRENDAMIENTO!H2+SEGURO!G2+PLACAS!G2+'GASTOS DE ARRENDAMIENTO'!G2</f>
        <v>50335.804962353832</v>
      </c>
      <c r="L2" s="10">
        <f>K2-M2</f>
        <v>30499.804962353832</v>
      </c>
      <c r="M2" s="10">
        <v>19836</v>
      </c>
    </row>
    <row r="3" spans="1:13">
      <c r="A3" s="3">
        <v>2</v>
      </c>
      <c r="B3" s="4">
        <f>ARRENDAMIENTO!B3+SEGURO!B3+PLACAS!B3+'GASTOS DE ARRENDAMIENTO'!B3</f>
        <v>1153967.5536376461</v>
      </c>
      <c r="C3" s="14" t="s">
        <v>8</v>
      </c>
      <c r="D3" s="4">
        <f>ARRENDAMIENTO!D3+SEGURO!D3+PLACAS!D3+'GASTOS DE ARRENDAMIENTO'!D3</f>
        <v>23079.351072752928</v>
      </c>
      <c r="E3" s="4">
        <f>SEGURO!E3+PLACAS!E3+'GASTOS DE ARRENDAMIENTO'!E3</f>
        <v>103.72417612046772</v>
      </c>
      <c r="F3" s="4">
        <f>ARRENDAMIENTO!E3+SEGURO!F3+PLACAS!F3+'GASTOS DE ARRENDAMIENTO'!F3</f>
        <v>20584.33971348044</v>
      </c>
      <c r="G3" s="4">
        <f t="shared" ref="G3:G25" si="0">K3/1.16</f>
        <v>43392.935312373993</v>
      </c>
      <c r="H3" s="4"/>
      <c r="I3" s="4">
        <v>1920</v>
      </c>
      <c r="J3" s="4"/>
      <c r="K3" s="4">
        <f>ARRENDAMIENTO!H3+SEGURO!G3+PLACAS!G3+'GASTOS DE ARRENDAMIENTO'!G3</f>
        <v>50335.804962353832</v>
      </c>
      <c r="L3" s="10">
        <f t="shared" ref="L3:L25" si="1">K3-M3</f>
        <v>30499.804962353832</v>
      </c>
      <c r="M3" s="10">
        <v>19836</v>
      </c>
    </row>
    <row r="4" spans="1:13">
      <c r="A4" s="3">
        <v>3</v>
      </c>
      <c r="B4" s="4">
        <f>ARRENDAMIENTO!B4+SEGURO!B4+PLACAS!B4+'GASTOS DE ARRENDAMIENTO'!B4</f>
        <v>1133383.2139241658</v>
      </c>
      <c r="C4" s="14" t="s">
        <v>8</v>
      </c>
      <c r="D4" s="4">
        <f>ARRENDAMIENTO!D4+SEGURO!D4+PLACAS!D4+'GASTOS DE ARRENDAMIENTO'!D4</f>
        <v>22667.664278483317</v>
      </c>
      <c r="E4" s="4">
        <f>SEGURO!E4+PLACAS!E4+'GASTOS DE ARRENDAMIENTO'!E4</f>
        <v>97.442465126930301</v>
      </c>
      <c r="F4" s="4">
        <f>ARRENDAMIENTO!E4+SEGURO!F4+PLACAS!F4+'GASTOS DE ARRENDAMIENTO'!F4</f>
        <v>21002.308218743587</v>
      </c>
      <c r="G4" s="4">
        <f t="shared" si="0"/>
        <v>43392.935312373993</v>
      </c>
      <c r="H4" s="4"/>
      <c r="I4" s="4">
        <v>1920</v>
      </c>
      <c r="J4" s="4"/>
      <c r="K4" s="4">
        <f>ARRENDAMIENTO!H4+SEGURO!G4+PLACAS!G4+'GASTOS DE ARRENDAMIENTO'!G4</f>
        <v>50335.804962353832</v>
      </c>
      <c r="L4" s="10">
        <f t="shared" si="1"/>
        <v>30499.804962353832</v>
      </c>
      <c r="M4" s="10">
        <v>19836</v>
      </c>
    </row>
    <row r="5" spans="1:13">
      <c r="A5" s="3">
        <v>4</v>
      </c>
      <c r="B5" s="4">
        <f>ARRENDAMIENTO!B5+SEGURO!B5+PLACAS!B5+'GASTOS DE ARRENDAMIENTO'!B5</f>
        <v>1112380.9057054222</v>
      </c>
      <c r="C5" s="14" t="s">
        <v>8</v>
      </c>
      <c r="D5" s="4">
        <f>ARRENDAMIENTO!D5+SEGURO!D5+PLACAS!D5+'GASTOS DE ARRENDAMIENTO'!D5</f>
        <v>22247.618114108449</v>
      </c>
      <c r="E5" s="4">
        <f>SEGURO!E5+PLACAS!E5+'GASTOS DE ARRENDAMIENTO'!E5</f>
        <v>91.015018438342793</v>
      </c>
      <c r="F5" s="4">
        <f>ARRENDAMIENTO!E5+SEGURO!F5+PLACAS!F5+'GASTOS DE ARRENDAMIENTO'!F5</f>
        <v>21428.781829807045</v>
      </c>
      <c r="G5" s="4">
        <f t="shared" si="0"/>
        <v>43392.935312373993</v>
      </c>
      <c r="H5" s="4"/>
      <c r="I5" s="4">
        <v>1920</v>
      </c>
      <c r="J5" s="4"/>
      <c r="K5" s="4">
        <f>ARRENDAMIENTO!H5+SEGURO!G5+PLACAS!G5+'GASTOS DE ARRENDAMIENTO'!G5</f>
        <v>50335.804962353832</v>
      </c>
      <c r="L5" s="10">
        <f t="shared" si="1"/>
        <v>30499.804962353832</v>
      </c>
      <c r="M5" s="10">
        <v>19836</v>
      </c>
    </row>
    <row r="6" spans="1:13">
      <c r="A6" s="3">
        <v>5</v>
      </c>
      <c r="B6" s="4">
        <f>ARRENDAMIENTO!B6+SEGURO!B6+PLACAS!B6+'GASTOS DE ARRENDAMIENTO'!B6</f>
        <v>1090952.1238756154</v>
      </c>
      <c r="C6" s="14" t="s">
        <v>8</v>
      </c>
      <c r="D6" s="4">
        <f>ARRENDAMIENTO!D6+SEGURO!D6+PLACAS!D6+'GASTOS DE ARRENDAMIENTO'!D6</f>
        <v>21819.042477512307</v>
      </c>
      <c r="E6" s="4">
        <f>SEGURO!E6+PLACAS!E6+'GASTOS DE ARRENDAMIENTO'!E6</f>
        <v>84.438454986580069</v>
      </c>
      <c r="F6" s="4">
        <f>ARRENDAMIENTO!E6+SEGURO!F6+PLACAS!F6+'GASTOS DE ARRENDAMIENTO'!F6</f>
        <v>21863.934029854947</v>
      </c>
      <c r="G6" s="4">
        <f t="shared" si="0"/>
        <v>43392.935312373993</v>
      </c>
      <c r="H6" s="4"/>
      <c r="I6" s="4">
        <v>1920</v>
      </c>
      <c r="J6" s="4"/>
      <c r="K6" s="4">
        <f>ARRENDAMIENTO!H6+SEGURO!G6+PLACAS!G6+'GASTOS DE ARRENDAMIENTO'!G6</f>
        <v>50335.804962353832</v>
      </c>
      <c r="L6" s="10">
        <f t="shared" si="1"/>
        <v>30499.804962353832</v>
      </c>
      <c r="M6" s="10">
        <v>19836</v>
      </c>
    </row>
    <row r="7" spans="1:13">
      <c r="A7" s="3">
        <v>6</v>
      </c>
      <c r="B7" s="4">
        <f>ARRENDAMIENTO!B7+SEGURO!B7+PLACAS!B7+'GASTOS DE ARRENDAMIENTO'!B7</f>
        <v>1069088.1898457604</v>
      </c>
      <c r="C7" s="14" t="s">
        <v>8</v>
      </c>
      <c r="D7" s="4">
        <f>ARRENDAMIENTO!D7+SEGURO!D7+PLACAS!D7+'GASTOS DE ARRENDAMIENTO'!D7</f>
        <v>21381.763796915206</v>
      </c>
      <c r="E7" s="4">
        <f>SEGURO!E7+PLACAS!E7+'GASTOS DE ARRENDAMIENTO'!E7</f>
        <v>77.709315262736453</v>
      </c>
      <c r="F7" s="4">
        <f>ARRENDAMIENTO!E7+SEGURO!F7+PLACAS!F7+'GASTOS DE ARRENDAMIENTO'!F7</f>
        <v>22307.941850175892</v>
      </c>
      <c r="G7" s="4">
        <f t="shared" si="0"/>
        <v>43392.935312373993</v>
      </c>
      <c r="H7" s="4"/>
      <c r="I7" s="4">
        <v>1920</v>
      </c>
      <c r="J7" s="4"/>
      <c r="K7" s="4">
        <f>ARRENDAMIENTO!H7+SEGURO!G7+PLACAS!G7+'GASTOS DE ARRENDAMIENTO'!G7</f>
        <v>50335.804962353832</v>
      </c>
      <c r="L7" s="10">
        <f t="shared" si="1"/>
        <v>30499.804962353832</v>
      </c>
      <c r="M7" s="10">
        <v>19836</v>
      </c>
    </row>
    <row r="8" spans="1:13">
      <c r="A8" s="3">
        <v>7</v>
      </c>
      <c r="B8" s="4">
        <f>ARRENDAMIENTO!B8+SEGURO!B8+PLACAS!B8+'GASTOS DE ARRENDAMIENTO'!B8</f>
        <v>1046780.2479955845</v>
      </c>
      <c r="C8" s="14" t="s">
        <v>8</v>
      </c>
      <c r="D8" s="4">
        <f>ARRENDAMIENTO!D8+SEGURO!D8+PLACAS!D8+'GASTOS DE ARRENDAMIENTO'!D8</f>
        <v>20935.604959911689</v>
      </c>
      <c r="E8" s="4">
        <f>SEGURO!E8+PLACAS!E8+'GASTOS DE ARRENDAMIENTO'!E8</f>
        <v>70.824059497299658</v>
      </c>
      <c r="F8" s="4">
        <f>ARRENDAMIENTO!E8+SEGURO!F8+PLACAS!F8+'GASTOS DE ARRENDAMIENTO'!F8</f>
        <v>22760.985942944848</v>
      </c>
      <c r="G8" s="4">
        <f t="shared" si="0"/>
        <v>43392.935312373993</v>
      </c>
      <c r="H8" s="4"/>
      <c r="I8" s="4">
        <v>1920</v>
      </c>
      <c r="J8" s="4"/>
      <c r="K8" s="4">
        <f>ARRENDAMIENTO!H8+SEGURO!G8+PLACAS!G8+'GASTOS DE ARRENDAMIENTO'!G8</f>
        <v>50335.804962353832</v>
      </c>
      <c r="L8" s="10">
        <f t="shared" si="1"/>
        <v>30499.804962353832</v>
      </c>
      <c r="M8" s="10">
        <v>19836</v>
      </c>
    </row>
    <row r="9" spans="1:13">
      <c r="A9" s="3">
        <v>8</v>
      </c>
      <c r="B9" s="4">
        <f>ARRENDAMIENTO!B9+SEGURO!B9+PLACAS!B9+'GASTOS DE ARRENDAMIENTO'!B9</f>
        <v>1024019.2620526397</v>
      </c>
      <c r="C9" s="14" t="s">
        <v>8</v>
      </c>
      <c r="D9" s="4">
        <f>ARRENDAMIENTO!D9+SEGURO!D9+PLACAS!D9+'GASTOS DE ARRENDAMIENTO'!D9</f>
        <v>20480.385241052794</v>
      </c>
      <c r="E9" s="4">
        <f>SEGURO!E9+PLACAS!E9+'GASTOS DE ARRENDAMIENTO'!E9</f>
        <v>63.779065798104732</v>
      </c>
      <c r="F9" s="4">
        <f>ARRENDAMIENTO!E9+SEGURO!F9+PLACAS!F9+'GASTOS DE ARRENDAMIENTO'!F9</f>
        <v>23223.250655502936</v>
      </c>
      <c r="G9" s="4">
        <f t="shared" si="0"/>
        <v>43392.935312373993</v>
      </c>
      <c r="H9" s="4"/>
      <c r="I9" s="4">
        <v>1920</v>
      </c>
      <c r="J9" s="4"/>
      <c r="K9" s="4">
        <f>ARRENDAMIENTO!H9+SEGURO!G9+PLACAS!G9+'GASTOS DE ARRENDAMIENTO'!G9</f>
        <v>50335.804962353832</v>
      </c>
      <c r="L9" s="10">
        <f t="shared" si="1"/>
        <v>30499.804962353832</v>
      </c>
      <c r="M9" s="10">
        <v>19836</v>
      </c>
    </row>
    <row r="10" spans="1:13">
      <c r="A10" s="3">
        <v>9</v>
      </c>
      <c r="B10" s="4">
        <f>ARRENDAMIENTO!B10+SEGURO!B10+PLACAS!B10+'GASTOS DE ARRENDAMIENTO'!B10</f>
        <v>1000796.0113971367</v>
      </c>
      <c r="C10" s="14" t="s">
        <v>8</v>
      </c>
      <c r="D10" s="4">
        <f>ARRENDAMIENTO!D10+SEGURO!D10+PLACAS!D10+'GASTOS DE ARRENDAMIENTO'!D10</f>
        <v>20015.920227942737</v>
      </c>
      <c r="E10" s="4">
        <f>SEGURO!E10+PLACAS!E10+'GASTOS DE ARRENDAMIENTO'!E10</f>
        <v>56.570628245088486</v>
      </c>
      <c r="F10" s="4">
        <f>ARRENDAMIENTO!E10+SEGURO!F10+PLACAS!F10+'GASTOS DE ARRENDAMIENTO'!F10</f>
        <v>23694.92410616601</v>
      </c>
      <c r="G10" s="4">
        <f t="shared" si="0"/>
        <v>43392.935312373993</v>
      </c>
      <c r="H10" s="4"/>
      <c r="I10" s="4">
        <v>1920</v>
      </c>
      <c r="J10" s="4"/>
      <c r="K10" s="4">
        <f>ARRENDAMIENTO!H10+SEGURO!G10+PLACAS!G10+'GASTOS DE ARRENDAMIENTO'!G10</f>
        <v>50335.804962353832</v>
      </c>
      <c r="L10" s="10">
        <f t="shared" si="1"/>
        <v>30499.804962353832</v>
      </c>
      <c r="M10" s="10">
        <v>19836</v>
      </c>
    </row>
    <row r="11" spans="1:13">
      <c r="A11" s="3">
        <v>10</v>
      </c>
      <c r="B11" s="4">
        <f>ARRENDAMIENTO!B11+SEGURO!B11+PLACAS!B11+'GASTOS DE ARRENDAMIENTO'!B11</f>
        <v>977101.08729097073</v>
      </c>
      <c r="C11" s="14" t="s">
        <v>8</v>
      </c>
      <c r="D11" s="4">
        <f>ARRENDAMIENTO!D11+SEGURO!D11+PLACAS!D11+'GASTOS DE ARRENDAMIENTO'!D11</f>
        <v>19542.021745819417</v>
      </c>
      <c r="E11" s="4">
        <f>SEGURO!E11+PLACAS!E11+'GASTOS DE ARRENDAMIENTO'!E11</f>
        <v>49.194954940842266</v>
      </c>
      <c r="F11" s="4">
        <f>ARRENDAMIENTO!E11+SEGURO!F11+PLACAS!F11+'GASTOS DE ARRENDAMIENTO'!F11</f>
        <v>24176.198261593578</v>
      </c>
      <c r="G11" s="4">
        <f t="shared" si="0"/>
        <v>43392.935312373993</v>
      </c>
      <c r="H11" s="4"/>
      <c r="I11" s="4">
        <v>1920</v>
      </c>
      <c r="J11" s="4"/>
      <c r="K11" s="4">
        <f>ARRENDAMIENTO!H11+SEGURO!G11+PLACAS!G11+'GASTOS DE ARRENDAMIENTO'!G11</f>
        <v>50335.804962353832</v>
      </c>
      <c r="L11" s="10">
        <f t="shared" si="1"/>
        <v>30499.804962353832</v>
      </c>
      <c r="M11" s="10">
        <v>19836</v>
      </c>
    </row>
    <row r="12" spans="1:13">
      <c r="A12" s="3">
        <v>11</v>
      </c>
      <c r="B12" s="4">
        <f>ARRENDAMIENTO!B12+SEGURO!B12+PLACAS!B12+'GASTOS DE ARRENDAMIENTO'!B12</f>
        <v>952924.88902937726</v>
      </c>
      <c r="C12" s="14" t="s">
        <v>8</v>
      </c>
      <c r="D12" s="4">
        <f>ARRENDAMIENTO!D12+SEGURO!D12+PLACAS!D12+'GASTOS DE ARRENDAMIENTO'!D12</f>
        <v>19058.497780587542</v>
      </c>
      <c r="E12" s="4">
        <f>SEGURO!E12+PLACAS!E12+'GASTOS DE ARRENDAMIENTO'!E12</f>
        <v>41.64816601593752</v>
      </c>
      <c r="F12" s="4">
        <f>ARRENDAMIENTO!E12+SEGURO!F12+PLACAS!F12+'GASTOS DE ARRENDAMIENTO'!F12</f>
        <v>24667.269015750353</v>
      </c>
      <c r="G12" s="4">
        <f t="shared" si="0"/>
        <v>43392.935312373993</v>
      </c>
      <c r="H12" s="4"/>
      <c r="I12" s="4">
        <v>1920</v>
      </c>
      <c r="J12" s="4"/>
      <c r="K12" s="4">
        <f>ARRENDAMIENTO!H12+SEGURO!G12+PLACAS!G12+'GASTOS DE ARRENDAMIENTO'!G12</f>
        <v>50335.804962353832</v>
      </c>
      <c r="L12" s="10">
        <f t="shared" si="1"/>
        <v>30499.804962353832</v>
      </c>
      <c r="M12" s="10">
        <v>19836</v>
      </c>
    </row>
    <row r="13" spans="1:13">
      <c r="A13" s="3">
        <v>12</v>
      </c>
      <c r="B13" s="4">
        <f>ARRENDAMIENTO!B13+SEGURO!B13+PLACAS!B13+'GASTOS DE ARRENDAMIENTO'!B13</f>
        <v>928257.62001362687</v>
      </c>
      <c r="C13" s="14" t="s">
        <v>8</v>
      </c>
      <c r="D13" s="4">
        <f>ARRENDAMIENTO!D13+SEGURO!D13+PLACAS!D13+'GASTOS DE ARRENDAMIENTO'!D13</f>
        <v>18565.152400272542</v>
      </c>
      <c r="E13" s="4">
        <f>SEGURO!E13+PLACAS!E13+'GASTOS DE ARRENDAMIENTO'!E13</f>
        <v>33.926291587974994</v>
      </c>
      <c r="F13" s="4">
        <f>ARRENDAMIENTO!E13+SEGURO!F13+PLACAS!F13+'GASTOS DE ARRENDAMIENTO'!F13</f>
        <v>25168.336270493321</v>
      </c>
      <c r="G13" s="4">
        <f t="shared" si="0"/>
        <v>43392.935312373993</v>
      </c>
      <c r="H13" s="4"/>
      <c r="I13" s="4">
        <v>1920</v>
      </c>
      <c r="J13" s="4"/>
      <c r="K13" s="4">
        <f>ARRENDAMIENTO!H13+SEGURO!G13+PLACAS!G13+'GASTOS DE ARRENDAMIENTO'!G13</f>
        <v>50335.804962353832</v>
      </c>
      <c r="L13" s="10">
        <f t="shared" si="1"/>
        <v>30499.804962353832</v>
      </c>
      <c r="M13" s="10">
        <v>19836</v>
      </c>
    </row>
    <row r="14" spans="1:13">
      <c r="A14" s="3">
        <v>13</v>
      </c>
      <c r="B14" s="4">
        <f>ARRENDAMIENTO!B14+SEGURO!B14+PLACAS!B14+'GASTOS DE ARRENDAMIENTO'!B14</f>
        <v>923112.55202265433</v>
      </c>
      <c r="C14" s="14" t="s">
        <v>8</v>
      </c>
      <c r="D14" s="4">
        <f>ARRENDAMIENTO!D14+SEGURO!D14+PLACAS!D14+'GASTOS DE ARRENDAMIENTO'!D14</f>
        <v>18462.251040453084</v>
      </c>
      <c r="E14" s="4">
        <f>SEGURO!E14+PLACAS!E14+'GASTOS DE ARRENDAMIENTO'!E14</f>
        <v>90.099728167749973</v>
      </c>
      <c r="F14" s="4">
        <f>ARRENDAMIENTO!E14+SEGURO!F14+PLACAS!F14+'GASTOS DE ARRENDAMIENTO'!F14</f>
        <v>25215.064193733</v>
      </c>
      <c r="G14" s="4">
        <f t="shared" si="0"/>
        <v>43392.935312373993</v>
      </c>
      <c r="H14" s="4"/>
      <c r="I14" s="4">
        <v>1920</v>
      </c>
      <c r="J14" s="4"/>
      <c r="K14" s="4">
        <f>ARRENDAMIENTO!H14+SEGURO!G14+PLACAS!G14+'GASTOS DE ARRENDAMIENTO'!G14</f>
        <v>50335.804962353832</v>
      </c>
      <c r="L14" s="10">
        <f t="shared" si="1"/>
        <v>30499.804962353832</v>
      </c>
      <c r="M14" s="10">
        <v>19836</v>
      </c>
    </row>
    <row r="15" spans="1:13">
      <c r="A15" s="3">
        <v>14</v>
      </c>
      <c r="B15" s="4">
        <f>ARRENDAMIENTO!B15+SEGURO!B15+PLACAS!B15+'GASTOS DE ARRENDAMIENTO'!B15</f>
        <v>897897.48782892129</v>
      </c>
      <c r="C15" s="14" t="s">
        <v>8</v>
      </c>
      <c r="D15" s="4">
        <f>ARRENDAMIENTO!D15+SEGURO!D15+PLACAS!D15+'GASTOS DE ARRENDAMIENTO'!D15</f>
        <v>17957.94975657843</v>
      </c>
      <c r="E15" s="4">
        <f>SEGURO!E15+PLACAS!E15+'GASTOS DE ARRENDAMIENTO'!E15</f>
        <v>83.50192998170948</v>
      </c>
      <c r="F15" s="4">
        <f>ARRENDAMIENTO!E15+SEGURO!F15+PLACAS!F15+'GASTOS DE ARRENDAMIENTO'!F15</f>
        <v>25725.963275793696</v>
      </c>
      <c r="G15" s="4">
        <f t="shared" si="0"/>
        <v>43392.935312373993</v>
      </c>
      <c r="H15" s="4"/>
      <c r="I15" s="4">
        <v>1920</v>
      </c>
      <c r="J15" s="4"/>
      <c r="K15" s="4">
        <f>ARRENDAMIENTO!H15+SEGURO!G15+PLACAS!G15+'GASTOS DE ARRENDAMIENTO'!G15</f>
        <v>50335.804962353832</v>
      </c>
      <c r="L15" s="10">
        <f t="shared" si="1"/>
        <v>30499.804962353832</v>
      </c>
      <c r="M15" s="10">
        <v>19836</v>
      </c>
    </row>
    <row r="16" spans="1:13">
      <c r="A16" s="3">
        <v>15</v>
      </c>
      <c r="B16" s="4">
        <f>ARRENDAMIENTO!B16+SEGURO!B16+PLACAS!B16+'GASTOS DE ARRENDAMIENTO'!B16</f>
        <v>872171.52455312759</v>
      </c>
      <c r="C16" s="14" t="s">
        <v>8</v>
      </c>
      <c r="D16" s="4">
        <f>ARRENDAMIENTO!D16+SEGURO!D16+PLACAS!D16+'GASTOS DE ARRENDAMIENTO'!D16</f>
        <v>17443.430491062551</v>
      </c>
      <c r="E16" s="4">
        <f>SEGURO!E16+PLACAS!E16+'GASTOS DE ARRENDAMIENTO'!E16</f>
        <v>76.751062877752872</v>
      </c>
      <c r="F16" s="4">
        <f>ARRENDAMIENTO!E16+SEGURO!F16+PLACAS!F16+'GASTOS DE ARRENDAMIENTO'!F16</f>
        <v>26247.233408413533</v>
      </c>
      <c r="G16" s="4">
        <f t="shared" si="0"/>
        <v>43392.935312373993</v>
      </c>
      <c r="H16" s="4"/>
      <c r="I16" s="4">
        <v>1920</v>
      </c>
      <c r="J16" s="4"/>
      <c r="K16" s="4">
        <f>ARRENDAMIENTO!H16+SEGURO!G16+PLACAS!G16+'GASTOS DE ARRENDAMIENTO'!G16</f>
        <v>50335.804962353832</v>
      </c>
      <c r="L16" s="10">
        <f t="shared" si="1"/>
        <v>30499.804962353832</v>
      </c>
      <c r="M16" s="10">
        <v>19836</v>
      </c>
    </row>
    <row r="17" spans="1:13">
      <c r="A17" s="3">
        <v>16</v>
      </c>
      <c r="B17" s="4">
        <f>ARRENDAMIENTO!B17+SEGURO!B17+PLACAS!B17+'GASTOS DE ARRENDAMIENTO'!B17</f>
        <v>845924.29114471411</v>
      </c>
      <c r="C17" s="14" t="s">
        <v>8</v>
      </c>
      <c r="D17" s="4">
        <f>ARRENDAMIENTO!D17+SEGURO!D17+PLACAS!D17+'GASTOS DE ARRENDAMIENTO'!D17</f>
        <v>16918.485822894287</v>
      </c>
      <c r="E17" s="4">
        <f>SEGURO!E17+PLACAS!E17+'GASTOS DE ARRENDAMIENTO'!E17</f>
        <v>69.84357565698447</v>
      </c>
      <c r="F17" s="4">
        <f>ARRENDAMIENTO!E17+SEGURO!F17+PLACAS!F17+'GASTOS DE ARRENDAMIENTO'!F17</f>
        <v>26779.085563802568</v>
      </c>
      <c r="G17" s="4">
        <f t="shared" si="0"/>
        <v>43392.935312373993</v>
      </c>
      <c r="H17" s="4"/>
      <c r="I17" s="4">
        <v>1920</v>
      </c>
      <c r="J17" s="4"/>
      <c r="K17" s="4">
        <f>ARRENDAMIENTO!H17+SEGURO!G17+PLACAS!G17+'GASTOS DE ARRENDAMIENTO'!G17</f>
        <v>50335.804962353832</v>
      </c>
      <c r="L17" s="10">
        <f t="shared" si="1"/>
        <v>30499.804962353832</v>
      </c>
      <c r="M17" s="10">
        <v>19836</v>
      </c>
    </row>
    <row r="18" spans="1:13">
      <c r="A18" s="3">
        <v>17</v>
      </c>
      <c r="B18" s="4">
        <f>ARRENDAMIENTO!B18+SEGURO!B18+PLACAS!B18+'GASTOS DE ARRENDAMIENTO'!B18</f>
        <v>819145.2055809116</v>
      </c>
      <c r="C18" s="14" t="s">
        <v>8</v>
      </c>
      <c r="D18" s="4">
        <f>ARRENDAMIENTO!D18+SEGURO!D18+PLACAS!D18+'GASTOS DE ARRENDAMIENTO'!D18</f>
        <v>16382.904111618231</v>
      </c>
      <c r="E18" s="4">
        <f>SEGURO!E18+PLACAS!E18+'GASTOS DE ARRENDAMIENTO'!E18</f>
        <v>62.775834732694229</v>
      </c>
      <c r="F18" s="4">
        <f>ARRENDAMIENTO!E18+SEGURO!F18+PLACAS!F18+'GASTOS DE ARRENDAMIENTO'!F18</f>
        <v>27321.735016002909</v>
      </c>
      <c r="G18" s="4">
        <f t="shared" si="0"/>
        <v>43392.935312373993</v>
      </c>
      <c r="H18" s="4"/>
      <c r="I18" s="4">
        <v>1920</v>
      </c>
      <c r="J18" s="4"/>
      <c r="K18" s="4">
        <f>ARRENDAMIENTO!H18+SEGURO!G18+PLACAS!G18+'GASTOS DE ARRENDAMIENTO'!G18</f>
        <v>50335.804962353832</v>
      </c>
      <c r="L18" s="10">
        <f t="shared" si="1"/>
        <v>30499.804962353832</v>
      </c>
      <c r="M18" s="10">
        <v>19836</v>
      </c>
    </row>
    <row r="19" spans="1:13">
      <c r="A19" s="3">
        <v>18</v>
      </c>
      <c r="B19" s="4">
        <f>ARRENDAMIENTO!B19+SEGURO!B19+PLACAS!B19+'GASTOS DE ARRENDAMIENTO'!B19</f>
        <v>791823.47056490881</v>
      </c>
      <c r="C19" s="14" t="s">
        <v>8</v>
      </c>
      <c r="D19" s="4">
        <f>ARRENDAMIENTO!D19+SEGURO!D19+PLACAS!D19+'GASTOS DE ARRENDAMIENTO'!D19</f>
        <v>15836.469411298172</v>
      </c>
      <c r="E19" s="4">
        <f>SEGURO!E19+PLACAS!E19+'GASTOS DE ARRENDAMIENTO'!E19</f>
        <v>55.54412221896046</v>
      </c>
      <c r="F19" s="4">
        <f>ARRENDAMIENTO!E19+SEGURO!F19+PLACAS!F19+'GASTOS DE ARRENDAMIENTO'!F19</f>
        <v>27875.401428836703</v>
      </c>
      <c r="G19" s="4">
        <f t="shared" si="0"/>
        <v>43392.935312373993</v>
      </c>
      <c r="H19" s="4"/>
      <c r="I19" s="4">
        <v>1920</v>
      </c>
      <c r="J19" s="4"/>
      <c r="K19" s="4">
        <f>ARRENDAMIENTO!H19+SEGURO!G19+PLACAS!G19+'GASTOS DE ARRENDAMIENTO'!G19</f>
        <v>50335.804962353832</v>
      </c>
      <c r="L19" s="10">
        <f t="shared" si="1"/>
        <v>30499.804962353832</v>
      </c>
      <c r="M19" s="10">
        <v>19836</v>
      </c>
    </row>
    <row r="20" spans="1:13">
      <c r="A20" s="3">
        <v>19</v>
      </c>
      <c r="B20" s="4">
        <f>ARRENDAMIENTO!B20+SEGURO!B20+PLACAS!B20+'GASTOS DE ARRENDAMIENTO'!B20</f>
        <v>763948.06913607195</v>
      </c>
      <c r="C20" s="14" t="s">
        <v>8</v>
      </c>
      <c r="D20" s="4">
        <f>ARRENDAMIENTO!D20+SEGURO!D20+PLACAS!D20+'GASTOS DE ARRENDAMIENTO'!D20</f>
        <v>15278.96138272144</v>
      </c>
      <c r="E20" s="4">
        <f>SEGURO!E20+PLACAS!E20+'GASTOS DE ARRENDAMIENTO'!E20</f>
        <v>48.144633974908047</v>
      </c>
      <c r="F20" s="4">
        <f>ARRENDAMIENTO!E20+SEGURO!F20+PLACAS!F20+'GASTOS DE ARRENDAMIENTO'!F20</f>
        <v>28440.308945657482</v>
      </c>
      <c r="G20" s="4">
        <f t="shared" si="0"/>
        <v>43392.935312373993</v>
      </c>
      <c r="H20" s="4"/>
      <c r="I20" s="4">
        <v>1920</v>
      </c>
      <c r="J20" s="4"/>
      <c r="K20" s="4">
        <f>ARRENDAMIENTO!H20+SEGURO!G20+PLACAS!G20+'GASTOS DE ARRENDAMIENTO'!G20</f>
        <v>50335.804962353832</v>
      </c>
      <c r="L20" s="10">
        <f t="shared" si="1"/>
        <v>30499.804962353832</v>
      </c>
      <c r="M20" s="10">
        <v>19836</v>
      </c>
    </row>
    <row r="21" spans="1:13">
      <c r="A21" s="3">
        <v>20</v>
      </c>
      <c r="B21" s="4">
        <f>ARRENDAMIENTO!B21+SEGURO!B21+PLACAS!B21+'GASTOS DE ARRENDAMIENTO'!B21</f>
        <v>735507.7601904145</v>
      </c>
      <c r="C21" s="14" t="s">
        <v>8</v>
      </c>
      <c r="D21" s="4">
        <f>ARRENDAMIENTO!D21+SEGURO!D21+PLACAS!D21+'GASTOS DE ARRENDAMIENTO'!D21</f>
        <v>14710.15520380829</v>
      </c>
      <c r="E21" s="4">
        <f>SEGURO!E21+PLACAS!E21+'GASTOS DE ARRENDAMIENTO'!E21</f>
        <v>40.573477603593631</v>
      </c>
      <c r="F21" s="4">
        <f>ARRENDAMIENTO!E21+SEGURO!F21+PLACAS!F21+'GASTOS DE ARRENDAMIENTO'!F21</f>
        <v>29016.686280941947</v>
      </c>
      <c r="G21" s="4">
        <f t="shared" si="0"/>
        <v>43392.935312373993</v>
      </c>
      <c r="H21" s="4"/>
      <c r="I21" s="4">
        <v>1920</v>
      </c>
      <c r="J21" s="4"/>
      <c r="K21" s="4">
        <f>ARRENDAMIENTO!H21+SEGURO!G21+PLACAS!G21+'GASTOS DE ARRENDAMIENTO'!G21</f>
        <v>50335.804962353832</v>
      </c>
      <c r="L21" s="10">
        <f t="shared" si="1"/>
        <v>30499.804962353832</v>
      </c>
      <c r="M21" s="10">
        <v>19836</v>
      </c>
    </row>
    <row r="22" spans="1:13">
      <c r="A22" s="3">
        <v>21</v>
      </c>
      <c r="B22" s="4">
        <f>ARRENDAMIENTO!B22+SEGURO!B22+PLACAS!B22+'GASTOS DE ARRENDAMIENTO'!B22</f>
        <v>706491.07390947267</v>
      </c>
      <c r="C22" s="14" t="s">
        <v>8</v>
      </c>
      <c r="D22" s="4">
        <f>ARRENDAMIENTO!D22+SEGURO!D22+PLACAS!D22+'GASTOS DE ARRENDAMIENTO'!D22</f>
        <v>14129.821478189449</v>
      </c>
      <c r="E22" s="4">
        <f>SEGURO!E22+PLACAS!E22+'GASTOS DE ARRENDAMIENTO'!E22</f>
        <v>32.826670404464728</v>
      </c>
      <c r="F22" s="4">
        <f>ARRENDAMIENTO!E22+SEGURO!F22+PLACAS!F22+'GASTOS DE ARRENDAMIENTO'!F22</f>
        <v>29604.766813759918</v>
      </c>
      <c r="G22" s="4">
        <f t="shared" si="0"/>
        <v>43392.935312373993</v>
      </c>
      <c r="H22" s="4"/>
      <c r="I22" s="4">
        <v>1920</v>
      </c>
      <c r="J22" s="4"/>
      <c r="K22" s="4">
        <f>ARRENDAMIENTO!H22+SEGURO!G22+PLACAS!G22+'GASTOS DE ARRENDAMIENTO'!G22</f>
        <v>50335.804962353832</v>
      </c>
      <c r="L22" s="10">
        <f t="shared" si="1"/>
        <v>30499.804962353832</v>
      </c>
      <c r="M22" s="10">
        <v>19836</v>
      </c>
    </row>
    <row r="23" spans="1:13">
      <c r="A23" s="3">
        <v>22</v>
      </c>
      <c r="B23" s="4">
        <f>ARRENDAMIENTO!B23+SEGURO!B23+PLACAS!B23+'GASTOS DE ARRENDAMIENTO'!B23</f>
        <v>676886.30709571252</v>
      </c>
      <c r="C23" s="14" t="s">
        <v>8</v>
      </c>
      <c r="D23" s="4">
        <f>ARRENDAMIENTO!D23+SEGURO!D23+PLACAS!D23+'GASTOS DE ARRENDAMIENTO'!D23</f>
        <v>13537.726141914251</v>
      </c>
      <c r="E23" s="4">
        <f>SEGURO!E23+PLACAS!E23+'GASTOS DE ARRENDAMIENTO'!E23</f>
        <v>24.900137278316031</v>
      </c>
      <c r="F23" s="4">
        <f>ARRENDAMIENTO!E23+SEGURO!F23+PLACAS!F23+'GASTOS DE ARRENDAMIENTO'!F23</f>
        <v>30204.788683161267</v>
      </c>
      <c r="G23" s="4">
        <f t="shared" si="0"/>
        <v>43392.935312373993</v>
      </c>
      <c r="H23" s="4"/>
      <c r="I23" s="4">
        <v>1920</v>
      </c>
      <c r="J23" s="4"/>
      <c r="K23" s="4">
        <f>ARRENDAMIENTO!H23+SEGURO!G23+PLACAS!G23+'GASTOS DE ARRENDAMIENTO'!G23</f>
        <v>50335.804962353832</v>
      </c>
      <c r="L23" s="10">
        <f t="shared" si="1"/>
        <v>30499.804962353832</v>
      </c>
      <c r="M23" s="10">
        <v>19836</v>
      </c>
    </row>
    <row r="24" spans="1:13">
      <c r="A24" s="3">
        <v>23</v>
      </c>
      <c r="B24" s="4">
        <f>ARRENDAMIENTO!B24+SEGURO!B24+PLACAS!B24+'GASTOS DE ARRENDAMIENTO'!B24</f>
        <v>646681.51841255126</v>
      </c>
      <c r="C24" s="14" t="s">
        <v>8</v>
      </c>
      <c r="D24" s="4">
        <f>ARRENDAMIENTO!D24+SEGURO!D24+PLACAS!D24+'GASTOS DE ARRENDAMIENTO'!D24</f>
        <v>12933.630368251024</v>
      </c>
      <c r="E24" s="4">
        <f>SEGURO!E24+PLACAS!E24+'GASTOS DE ARRENDAMIENTO'!E24</f>
        <v>16.789708583640685</v>
      </c>
      <c r="F24" s="4">
        <f>ARRENDAMIENTO!E24+SEGURO!F24+PLACAS!F24+'GASTOS DE ARRENDAMIENTO'!F24</f>
        <v>30816.994885519172</v>
      </c>
      <c r="G24" s="4">
        <f t="shared" si="0"/>
        <v>43392.935312373993</v>
      </c>
      <c r="H24" s="4"/>
      <c r="I24" s="4">
        <v>1920</v>
      </c>
      <c r="J24" s="4"/>
      <c r="K24" s="4">
        <f>ARRENDAMIENTO!H24+SEGURO!G24+PLACAS!G24+'GASTOS DE ARRENDAMIENTO'!G24</f>
        <v>50335.804962353832</v>
      </c>
      <c r="L24" s="10">
        <f t="shared" si="1"/>
        <v>30499.804962353832</v>
      </c>
      <c r="M24" s="10">
        <v>19836</v>
      </c>
    </row>
    <row r="25" spans="1:13">
      <c r="A25" s="3">
        <v>24</v>
      </c>
      <c r="B25" s="4">
        <f>ARRENDAMIENTO!B25+SEGURO!B25+PLACAS!B25+'GASTOS DE ARRENDAMIENTO'!B25</f>
        <v>615864.52352703211</v>
      </c>
      <c r="C25" s="14" t="s">
        <v>8</v>
      </c>
      <c r="D25" s="4">
        <f>ARRENDAMIENTO!D25+SEGURO!D25+PLACAS!D25+'GASTOS DE ARRENDAMIENTO'!D25</f>
        <v>12317.290470540642</v>
      </c>
      <c r="E25" s="4">
        <f>SEGURO!E25+PLACAS!E25+'GASTOS DE ARRENDAMIENTO'!E25</f>
        <v>8.4911179432488701</v>
      </c>
      <c r="F25" s="4">
        <f>ARRENDAMIENTO!E25+SEGURO!F25+PLACAS!F25+'GASTOS DE ARRENDAMIENTO'!F25</f>
        <v>31441.63337386994</v>
      </c>
      <c r="G25" s="4">
        <f t="shared" si="0"/>
        <v>43392.935312373993</v>
      </c>
      <c r="H25" s="4"/>
      <c r="I25" s="4">
        <v>1920</v>
      </c>
      <c r="J25" s="4"/>
      <c r="K25" s="4">
        <f>ARRENDAMIENTO!H25+SEGURO!G25+PLACAS!G25+'GASTOS DE ARRENDAMIENTO'!G25</f>
        <v>50335.804962353832</v>
      </c>
      <c r="L25" s="10">
        <f t="shared" si="1"/>
        <v>30499.804962353832</v>
      </c>
      <c r="M25" s="10">
        <v>19836</v>
      </c>
    </row>
    <row r="29" spans="1:13">
      <c r="B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ARRENDAMIENTO</vt:lpstr>
      <vt:lpstr>SEGURO</vt:lpstr>
      <vt:lpstr>PLACAS</vt:lpstr>
      <vt:lpstr>GASTOS DE ARRENDAMIENTO</vt:lpstr>
      <vt:lpstr>INTEGRAL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TablaAmortizaArrenda</dc:title>
  <dc:creator>Juan Marcos Alvarez Cervantes</dc:creator>
  <cp:lastModifiedBy>Pedro Felipe Zambrano García</cp:lastModifiedBy>
  <dcterms:created xsi:type="dcterms:W3CDTF">2026-02-18T00:32:18Z</dcterms:created>
  <dcterms:modified xsi:type="dcterms:W3CDTF">2026-05-08T19:26:29Z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2026-02-17T00:00:00Z</vt:filetime>
  </property>
  <property fmtid="{D5CDD505-2E9C-101B-9397-08002B2CF9AE}" pid="3" name="Creator">
    <vt:lpwstr>Microsoft Reporting Services 14.0.0.0</vt:lpwstr>
  </property>
  <property fmtid="{D5CDD505-2E9C-101B-9397-08002B2CF9AE}" pid="4" name="Producer">
    <vt:lpwstr>Microsoft Reporting Services PDF Rendering Extension 14.0.0.0</vt:lpwstr>
  </property>
  <property fmtid="{D5CDD505-2E9C-101B-9397-08002B2CF9AE}" pid="5" name="LastSaved">
    <vt:filetime>2026-02-17T00:00:00Z</vt:filetime>
  </property>
</Properties>
</file>